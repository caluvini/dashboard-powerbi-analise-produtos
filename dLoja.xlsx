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.diego\Desktop\"/>
    </mc:Choice>
  </mc:AlternateContent>
  <xr:revisionPtr revIDLastSave="0" documentId="13_ncr:1_{2B3D7365-3111-4F8C-ADC7-91C34B6C21B1}" xr6:coauthVersionLast="47" xr6:coauthVersionMax="47" xr10:uidLastSave="{00000000-0000-0000-0000-000000000000}"/>
  <bookViews>
    <workbookView xWindow="-108" yWindow="-108" windowWidth="23256" windowHeight="12456" xr2:uid="{A9E15759-D463-433D-9BBB-51B7E504DD67}"/>
  </bookViews>
  <sheets>
    <sheet name="LOJA" sheetId="1" r:id="rId1"/>
  </sheets>
  <definedNames>
    <definedName name="_xlnm._FilterDatabase" localSheetId="0" hidden="1">LOJA!$A$1:$Y$748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2" i="1"/>
</calcChain>
</file>

<file path=xl/sharedStrings.xml><?xml version="1.0" encoding="utf-8"?>
<sst xmlns="http://schemas.openxmlformats.org/spreadsheetml/2006/main" count="7990" uniqueCount="1647">
  <si>
    <t>bi_id_loja</t>
  </si>
  <si>
    <t>COD_LOJA</t>
  </si>
  <si>
    <t>NUM_CNPJ</t>
  </si>
  <si>
    <t>COD_BANDEIRA</t>
  </si>
  <si>
    <t>DES_BANDEIRA</t>
  </si>
  <si>
    <t>COD_REDE</t>
  </si>
  <si>
    <t>DES_REDE</t>
  </si>
  <si>
    <t>NOM_FANTASIA</t>
  </si>
  <si>
    <t>COD_CANAL</t>
  </si>
  <si>
    <t>DES_CANAL</t>
  </si>
  <si>
    <t>COD_SUB_CANAL</t>
  </si>
  <si>
    <t>END_LOGRADOURO</t>
  </si>
  <si>
    <t>COD_CIDADE</t>
  </si>
  <si>
    <t>DES_CIDADE</t>
  </si>
  <si>
    <t>COD_UF</t>
  </si>
  <si>
    <t>DES_UF</t>
  </si>
  <si>
    <t>DES_UF_NOME</t>
  </si>
  <si>
    <t>COD_REGIAO</t>
  </si>
  <si>
    <t>DES_REGIAO</t>
  </si>
  <si>
    <t>END_CEP</t>
  </si>
  <si>
    <t>LATITUDE</t>
  </si>
  <si>
    <t>LONGITUDE</t>
  </si>
  <si>
    <t>END_BAIRRO</t>
  </si>
  <si>
    <t>STA_LOJA</t>
  </si>
  <si>
    <t>STATUS_LOJA</t>
  </si>
  <si>
    <t>NULL</t>
  </si>
  <si>
    <t>ESPECIALIZADO</t>
  </si>
  <si>
    <t>AVENIDA SILVA JARDIM, 2600</t>
  </si>
  <si>
    <t>CURITIBA</t>
  </si>
  <si>
    <t>PR</t>
  </si>
  <si>
    <t>PARANÁ</t>
  </si>
  <si>
    <t>SUL</t>
  </si>
  <si>
    <t>80240-020</t>
  </si>
  <si>
    <t>AGUA VERDE</t>
  </si>
  <si>
    <t>ATIVO</t>
  </si>
  <si>
    <t>AVENIDA DAS NACOES UNIDAS, 14401</t>
  </si>
  <si>
    <t>SAO PAULO</t>
  </si>
  <si>
    <t>SP</t>
  </si>
  <si>
    <t>SÃO PAULO</t>
  </si>
  <si>
    <t>SUDESTE</t>
  </si>
  <si>
    <t>04794-000</t>
  </si>
  <si>
    <t>VILA GERTRUDES</t>
  </si>
  <si>
    <t>RUA SAO CLEMENTE, 180</t>
  </si>
  <si>
    <t>RIO DE JANEIRO</t>
  </si>
  <si>
    <t>RJ</t>
  </si>
  <si>
    <t>BOTAFOGO</t>
  </si>
  <si>
    <t>INATIVO</t>
  </si>
  <si>
    <t>RUA REPUBLICA ARGENTINA, 1004 - AGUA VERDE</t>
  </si>
  <si>
    <t>80320-010</t>
  </si>
  <si>
    <t>VILA IZABEL</t>
  </si>
  <si>
    <t>AVENIDA CANDIDO DE ABREU, 127</t>
  </si>
  <si>
    <t>80530-900</t>
  </si>
  <si>
    <t>CENTRO CÍVICO</t>
  </si>
  <si>
    <t>AVENIDA DO BATEL, 1868</t>
  </si>
  <si>
    <t>80420-090</t>
  </si>
  <si>
    <t>BATEL</t>
  </si>
  <si>
    <t>AVENIDA BRAZ LEME, 1200</t>
  </si>
  <si>
    <t>02511-000</t>
  </si>
  <si>
    <t>CASA VERDE</t>
  </si>
  <si>
    <t>ST SD/NORTE CONJUNTO A LOJA S-26 1SUBSOLO</t>
  </si>
  <si>
    <t>BRASILIA</t>
  </si>
  <si>
    <t>DF</t>
  </si>
  <si>
    <t>DISTRITO FEDERAL</t>
  </si>
  <si>
    <t>CENTRO OESTE</t>
  </si>
  <si>
    <t>70077-900</t>
  </si>
  <si>
    <t>ASA NORTE</t>
  </si>
  <si>
    <t>Q RUA 420 QS 03 LOTE 04 LUC, 20, EXTRA TAGUATINGA, AREAL</t>
  </si>
  <si>
    <t>71953-100</t>
  </si>
  <si>
    <t>AREAL (AGUAS CLARAS)</t>
  </si>
  <si>
    <t>Q QS 3 RUA 420 AREA ESPECIAL, LOTE, 2</t>
  </si>
  <si>
    <t>Q QNM 34 AREA ESPECIAL 1 LOJAS, LOJA 129 E 130</t>
  </si>
  <si>
    <t>72145-450</t>
  </si>
  <si>
    <t>TAGUATINGA NORTE (TAGUATINGA)</t>
  </si>
  <si>
    <t>R COPAIBA LOTE, LJ 01 - LOJA 56 A 59 PARTE, NORTE</t>
  </si>
  <si>
    <t>71919-540</t>
  </si>
  <si>
    <t>NORTE (AGUAS CLARAS)</t>
  </si>
  <si>
    <t>ST SHTQ TRECHO 01 AVENIDA COMERCIAL LOTE 16, S/N, PARTE 03</t>
  </si>
  <si>
    <t>71551-010</t>
  </si>
  <si>
    <t>SETOR HABITACIONAL TAQUARI (LAGO NORTE)</t>
  </si>
  <si>
    <t>ST SHCN CL QUADRA 105 BLOCO D LOJA 54, ASA NORTE</t>
  </si>
  <si>
    <t>70734-540</t>
  </si>
  <si>
    <t>SCLS /105 BLOCO C LOJAS 2 E 6 ASA SUL</t>
  </si>
  <si>
    <t>70344-530</t>
  </si>
  <si>
    <t>ASA SUL</t>
  </si>
  <si>
    <t>Q EQN 110/111 BLOCO A LOJA 17, 0, 0, ASA NORTE</t>
  </si>
  <si>
    <t>71200-033</t>
  </si>
  <si>
    <t>ZONA INDUSTRIAL (GUARA)</t>
  </si>
  <si>
    <t>SCLS 113, BLOCO B SN LOJA 38 - ASA SUL</t>
  </si>
  <si>
    <t>70376-020</t>
  </si>
  <si>
    <t>CLS 204 BLOCO B SALAS 16/18, SHCS</t>
  </si>
  <si>
    <t>70234-500</t>
  </si>
  <si>
    <t>Q CLN 210 BLOCO B SN, 0, LOJA 03 07 E 11</t>
  </si>
  <si>
    <t>70862-520</t>
  </si>
  <si>
    <t>Q CLSW 302 BLOCO A S/N, 0, LOJA 07, SETOR SUDOESTE</t>
  </si>
  <si>
    <t>70673-611</t>
  </si>
  <si>
    <t>SETOR SUDOESTE</t>
  </si>
  <si>
    <t>AEROPORTO INTERNACIONAL DE BRASILIA, S/N</t>
  </si>
  <si>
    <t>71608-000</t>
  </si>
  <si>
    <t>SETOR DE HABITACOES INDIVIDUAIS SUL</t>
  </si>
  <si>
    <t>AEROPORTO INTER DE BSB PRESIDENTE JUSCELINO KUBITSCHEK</t>
  </si>
  <si>
    <t>71608-900</t>
  </si>
  <si>
    <t>LAGO SUL</t>
  </si>
  <si>
    <t>R 19 SUL, LOTE 16, LOJA 06, SUL</t>
  </si>
  <si>
    <t>71940-720</t>
  </si>
  <si>
    <t>SUL (AGUAS CLARAS)</t>
  </si>
  <si>
    <t>AVENIDA DAS ARAUCARIAS LOTES 1835</t>
  </si>
  <si>
    <t>71936-250</t>
  </si>
  <si>
    <t>AVENIDA DAS AMERICAS, 15500</t>
  </si>
  <si>
    <t>22790-702</t>
  </si>
  <si>
    <t>RECREIO DOS BANDEIRANTES</t>
  </si>
  <si>
    <t>RUA FONSECA, 240</t>
  </si>
  <si>
    <t>21820-971</t>
  </si>
  <si>
    <t>BANGU</t>
  </si>
  <si>
    <t>AVENIDA DAS AMERICAS, 4666</t>
  </si>
  <si>
    <t>22640-902</t>
  </si>
  <si>
    <t>BARRA DA TIJUCA</t>
  </si>
  <si>
    <t>RUA VOLUNTARIOS DA PATRIA, 234</t>
  </si>
  <si>
    <t>22270-014</t>
  </si>
  <si>
    <t>ST STN CONJUNTO J LOJAS SS26, SS27, SS28, SN, LOJA SS29</t>
  </si>
  <si>
    <t>70770-100</t>
  </si>
  <si>
    <t>ST SCN - QUADRA 5 - BLOCO A 1 SUBSOLO - LOJA 88C</t>
  </si>
  <si>
    <t>71605-001</t>
  </si>
  <si>
    <t>SCEE SUL LOTE B CENTRO LUC L 25 ASA GUARA</t>
  </si>
  <si>
    <t>71218-900</t>
  </si>
  <si>
    <t>GUARA</t>
  </si>
  <si>
    <t>AVENIDA DAS CASTANHEIRAS LOTES 1310</t>
  </si>
  <si>
    <t>71900-100</t>
  </si>
  <si>
    <t>AVENIDA DAS AMERICAS, 500</t>
  </si>
  <si>
    <t>22640-904</t>
  </si>
  <si>
    <t>STN CONJ A LOJA 1347 LUC Nº 11</t>
  </si>
  <si>
    <t>ST SIA TRECHO 12 LOTE 105 LOJA BIO MUNDO ASSAI SAI</t>
  </si>
  <si>
    <t>70040-976</t>
  </si>
  <si>
    <t>SIA</t>
  </si>
  <si>
    <t>RUA FIGUEIREDO DE MAGALHAES, 226</t>
  </si>
  <si>
    <t>22031-012</t>
  </si>
  <si>
    <t>COPACABANA</t>
  </si>
  <si>
    <t>Q QUADRA 01 LOTES 60/80 LOJA 06, 06, 0, SETOR INDUSTRIAL</t>
  </si>
  <si>
    <t>72445-010</t>
  </si>
  <si>
    <t>SETOR INDUSTRIAL (GAMA)</t>
  </si>
  <si>
    <t>RUA ARTUR ARARIPE, 110</t>
  </si>
  <si>
    <t>22451-020</t>
  </si>
  <si>
    <t>GAVEA</t>
  </si>
  <si>
    <t>SHIS QI 05 BL H LOJAS 10 E 11 LAGO SUL</t>
  </si>
  <si>
    <t>71615-580</t>
  </si>
  <si>
    <t>Q QE 30 CONJUNTO T LOTE 01 LOJAS 1 E 2</t>
  </si>
  <si>
    <t>71065-200</t>
  </si>
  <si>
    <t>GUARA II</t>
  </si>
  <si>
    <t>ST SHIN CA 04 BLOCO A LOJA 73/74/75, SN</t>
  </si>
  <si>
    <t>71503-504</t>
  </si>
  <si>
    <t>SETOR DE HABITACOES INDIVIDUAIS NORTE</t>
  </si>
  <si>
    <t>RUA VISCONDE DE PIRAJA, 121</t>
  </si>
  <si>
    <t>22410-001</t>
  </si>
  <si>
    <t>IPANEMA</t>
  </si>
  <si>
    <t>RUA SAO JOSE, 20 (ENDEREÇO CORRETO RUA VISCONDE DE PIRAJA, 595)</t>
  </si>
  <si>
    <t>22410-003</t>
  </si>
  <si>
    <t>R JOAO CACHOEIRA, 382</t>
  </si>
  <si>
    <t>04535-001</t>
  </si>
  <si>
    <t>VILA NOVA CONCEICAO</t>
  </si>
  <si>
    <t>X ETAPA 1, QD 1, RUA 01, LOTE 129, LOJA 107</t>
  </si>
  <si>
    <t>71680-362</t>
  </si>
  <si>
    <t>SETOR HABITACIONAL JARDIM BOTANICO</t>
  </si>
  <si>
    <t>ALAMEDA LORENA, 1420</t>
  </si>
  <si>
    <t>01424-004</t>
  </si>
  <si>
    <t>JARDIM PAULISTA</t>
  </si>
  <si>
    <t>Q SHIS QI 11 BLOCO R S/N, 0, LOJA 26 E LOJA 53</t>
  </si>
  <si>
    <t>71625-670</t>
  </si>
  <si>
    <t>AVENIDA BARTOLOMEU MITRE, 254</t>
  </si>
  <si>
    <t>22431-002</t>
  </si>
  <si>
    <t>LEBLON</t>
  </si>
  <si>
    <t>SC/N QD 02 BLOCO D LOJA T 351 LIBERTY SHOPPING ASA NORTE</t>
  </si>
  <si>
    <t>70712-904</t>
  </si>
  <si>
    <t>Q CLNW 10/11 BLOCO G LOJA 02 - SETOR NOROESTE</t>
  </si>
  <si>
    <t>70686-635</t>
  </si>
  <si>
    <t>SETOR NOROESTE</t>
  </si>
  <si>
    <t>ST SCN QUADRA 05 BLOCO A LOJA</t>
  </si>
  <si>
    <t>70715-900</t>
  </si>
  <si>
    <t>ST SHD PROJECAO 1, 0, LOJA 04, SETOR DE HOTEIS E DI</t>
  </si>
  <si>
    <t>73310-200</t>
  </si>
  <si>
    <t>SETOR DE HOTEIS E DIVERSOES (PLANALTINA)</t>
  </si>
  <si>
    <t>AVENIDA DOUTOR RICARDO JAFET, 1501</t>
  </si>
  <si>
    <t>04260-020</t>
  </si>
  <si>
    <t>VILA SANTA EULALIA</t>
  </si>
  <si>
    <t>R COPAIBA LOTE 01, LOJA 05 B,NORTE</t>
  </si>
  <si>
    <t>SETOR ST NORTE CONJUNTO I PARTE QUIOSQUE S/N</t>
  </si>
  <si>
    <t>RUA PROFESSOR PEDRO VIRIATO PARIGOT DE SOUZA, 600</t>
  </si>
  <si>
    <t>81200-100</t>
  </si>
  <si>
    <t>MOSSUNGUÊ</t>
  </si>
  <si>
    <t>Q CENTRAL BLOCO 10 LT 04, 0, LOJA 01 E 02</t>
  </si>
  <si>
    <t>73010-520</t>
  </si>
  <si>
    <t>SOBRADINHO</t>
  </si>
  <si>
    <t>CLSW 303 BLOCO A LOJAS 8,48 E 46 - SETOR SUDOESTE</t>
  </si>
  <si>
    <t>70673-621</t>
  </si>
  <si>
    <t>Q QS 1 RUA 210 LOTE 40 SN, 0, LOJA 1072 E 1073</t>
  </si>
  <si>
    <t>71950-904</t>
  </si>
  <si>
    <t>AREAL AGUAS CLARAS</t>
  </si>
  <si>
    <t>SHC AOSUL AE 02/08 N 05 LOJA 124 TERREO ACTOGONAL</t>
  </si>
  <si>
    <t>70660-090</t>
  </si>
  <si>
    <t>AREA OCTOGONAL</t>
  </si>
  <si>
    <t>RUA BARAO DE MESQUITA, 345</t>
  </si>
  <si>
    <t>20540-001</t>
  </si>
  <si>
    <t>TIJUCA</t>
  </si>
  <si>
    <t>ST SIA TRECHO 3 LOTE 1530, S/N, PARTE ESCRITORIO</t>
  </si>
  <si>
    <t>AVENIDA AYRTON SENNA, 300</t>
  </si>
  <si>
    <t>22775-904</t>
  </si>
  <si>
    <t>R 4A AREA FEIRA BLOCO 2 MODULOS 1 E 3 SN, 0, LOJA 4</t>
  </si>
  <si>
    <t>72006-253</t>
  </si>
  <si>
    <t>SETOR HABITACIONAL VICENTE PIRES</t>
  </si>
  <si>
    <t>ESTRADA DO GABINAL, 313</t>
  </si>
  <si>
    <t>22760-151</t>
  </si>
  <si>
    <t>FREGUESIA (JACAREPAGUA)</t>
  </si>
  <si>
    <t>RUA JOSE HIGINO, 115</t>
  </si>
  <si>
    <t>20520-201</t>
  </si>
  <si>
    <t>AVENIDA VICTOR FERREIRA DO AMARAL, 2633</t>
  </si>
  <si>
    <t>82810-350</t>
  </si>
  <si>
    <t>TARUMA</t>
  </si>
  <si>
    <t>RUA CARLOS KLEMTZ, 1994</t>
  </si>
  <si>
    <t>81320-000</t>
  </si>
  <si>
    <t>FAZENDINHA</t>
  </si>
  <si>
    <t>RUA IZABEL A REDENTORA, 1434</t>
  </si>
  <si>
    <t>SAO JOSE DOS PINHAIS</t>
  </si>
  <si>
    <t>80010-080</t>
  </si>
  <si>
    <t>CENTRO</t>
  </si>
  <si>
    <t>RUA MARECHAL DEODORO, 716</t>
  </si>
  <si>
    <t>80010-010</t>
  </si>
  <si>
    <t>RUA MAJOR HEITOR GUIMARAES, 1834</t>
  </si>
  <si>
    <t>80740-340</t>
  </si>
  <si>
    <t>CAMPINA DO SIQUEIRA</t>
  </si>
  <si>
    <t>RUA PADRE ANCHIETA, 2454</t>
  </si>
  <si>
    <t>80730-000</t>
  </si>
  <si>
    <t>BIGORRILHO</t>
  </si>
  <si>
    <t>AVENIDA PRESIDENTE KENNEDY, 4121</t>
  </si>
  <si>
    <t>80610-905</t>
  </si>
  <si>
    <t>PORTAO</t>
  </si>
  <si>
    <t>AVENIDA REPUBLICA ARGENTINA, 1423</t>
  </si>
  <si>
    <t>80620-010</t>
  </si>
  <si>
    <t>RUA BENI CARVALHO, 566</t>
  </si>
  <si>
    <t>FORTALEZA</t>
  </si>
  <si>
    <t>CE</t>
  </si>
  <si>
    <t>CEARÁ</t>
  </si>
  <si>
    <t>NORDESTE</t>
  </si>
  <si>
    <t>60135-416</t>
  </si>
  <si>
    <t>DIONISIO TORRES</t>
  </si>
  <si>
    <t>AVENIDA PARANA, 3059</t>
  </si>
  <si>
    <t>82510-000</t>
  </si>
  <si>
    <t>BACACHERI</t>
  </si>
  <si>
    <t>RUA NILO PECANHA, 1000</t>
  </si>
  <si>
    <t>80520-176</t>
  </si>
  <si>
    <t>BOM RETIRO</t>
  </si>
  <si>
    <t>RUA MARTIM AFONSO, 2800</t>
  </si>
  <si>
    <t>80730-030</t>
  </si>
  <si>
    <t>PRACA LEONOR KAUPA, 100</t>
  </si>
  <si>
    <t>04123-000</t>
  </si>
  <si>
    <t>SAUDE</t>
  </si>
  <si>
    <t>RUA DOMINGOS AGOSTIM, 91</t>
  </si>
  <si>
    <t>03306-010</t>
  </si>
  <si>
    <t>CIDADE MAE DO CEU</t>
  </si>
  <si>
    <t>RUA HOLANDA, 1926</t>
  </si>
  <si>
    <t>82540-040</t>
  </si>
  <si>
    <t>BOA VISTA</t>
  </si>
  <si>
    <t>RUA URBANO LOPES, 195</t>
  </si>
  <si>
    <t>80050-520</t>
  </si>
  <si>
    <t>CRISTO REI</t>
  </si>
  <si>
    <t>RUA TOPAZIO, 258</t>
  </si>
  <si>
    <t>04105-060</t>
  </si>
  <si>
    <t>VILA MARIANA</t>
  </si>
  <si>
    <t>AVENIDA DAS AMERICAS, 3255</t>
  </si>
  <si>
    <t>22631-002</t>
  </si>
  <si>
    <t>PRAIA DE BOTAFOGO, 454</t>
  </si>
  <si>
    <t>22250-040</t>
  </si>
  <si>
    <t>AVENIDA AYRTON SENNA, 2150</t>
  </si>
  <si>
    <t>22775-900</t>
  </si>
  <si>
    <t>RUA PRUDENTE DE MORAIS, 167</t>
  </si>
  <si>
    <t>22420-041</t>
  </si>
  <si>
    <t>RUA CONDE BERNADOTTE, 26</t>
  </si>
  <si>
    <t>22430-200</t>
  </si>
  <si>
    <t>LARGO DA CARIOCA, S/N</t>
  </si>
  <si>
    <t>20050-020</t>
  </si>
  <si>
    <t>RUA SIQUEIRA CAMPOS, S/N</t>
  </si>
  <si>
    <t>22031-071</t>
  </si>
  <si>
    <t>RUA VISCONDE DE PIRAJA, 414</t>
  </si>
  <si>
    <t>22410-905</t>
  </si>
  <si>
    <t>AVENIDA DAS AMERICAS, 19019</t>
  </si>
  <si>
    <t>22790-701</t>
  </si>
  <si>
    <t>AVENIDA OLEGARIO MACIEL, 531</t>
  </si>
  <si>
    <t>22621-200</t>
  </si>
  <si>
    <t>RUA JOSE HIGINO, 285</t>
  </si>
  <si>
    <t>AVENIDA AYRTON SENNA, 3000</t>
  </si>
  <si>
    <t>AVENIDA ERICO VERISSIMO, 390</t>
  </si>
  <si>
    <t>22621-180</t>
  </si>
  <si>
    <t>AVENIDA GUIGNARD, 600</t>
  </si>
  <si>
    <t>22790-200</t>
  </si>
  <si>
    <t>AVENIDA LUCIO COSTA, 4446</t>
  </si>
  <si>
    <t>22630-011</t>
  </si>
  <si>
    <t>AVENIDA EUSEBIO DE QUEIROZ, 1890</t>
  </si>
  <si>
    <t>EUSEBIO</t>
  </si>
  <si>
    <t>61768-680</t>
  </si>
  <si>
    <t>TAMATANDUBA</t>
  </si>
  <si>
    <t>AVENIDA EUSEBIO DE QUEIROZ, 2880</t>
  </si>
  <si>
    <t>61765-070</t>
  </si>
  <si>
    <t>COITE</t>
  </si>
  <si>
    <t>AVENIDA SANTOS DUMONT, 3130</t>
  </si>
  <si>
    <t>60150-162</t>
  </si>
  <si>
    <t>ALDEOTA</t>
  </si>
  <si>
    <t>AVENIDA SENADOR VIRGILIO TAVORA, 303</t>
  </si>
  <si>
    <t>60170-265</t>
  </si>
  <si>
    <t>MEIRELES</t>
  </si>
  <si>
    <t>AVENIDA WASHINGTON SOARES, 3000</t>
  </si>
  <si>
    <t>60810-350</t>
  </si>
  <si>
    <t>ENGENHEIRO LUCIANO CAVALCANTE</t>
  </si>
  <si>
    <t>AVENIDA WASHINGTON SOARES, 3690</t>
  </si>
  <si>
    <t>60821-750</t>
  </si>
  <si>
    <t>PARQUE MANIBURA</t>
  </si>
  <si>
    <t>AVENIDA WASHINGTON SOARES, 85</t>
  </si>
  <si>
    <t>60811-341</t>
  </si>
  <si>
    <t>EDSON QUEIROZ</t>
  </si>
  <si>
    <t>AVENIDA FREI CIRILO, 3270</t>
  </si>
  <si>
    <t>60840-285</t>
  </si>
  <si>
    <t>CAJAZEIRAS</t>
  </si>
  <si>
    <t>R DESEMBARGADOR LAURO NOGUEIRA, 1500</t>
  </si>
  <si>
    <t>60176-065</t>
  </si>
  <si>
    <t>PAPICU</t>
  </si>
  <si>
    <t>R JOAO DE ALENCAR, 113</t>
  </si>
  <si>
    <t>MARACANAU</t>
  </si>
  <si>
    <t>61900-150</t>
  </si>
  <si>
    <t>AVENIDA DOUTOR SILAS MUNGUBA, 643</t>
  </si>
  <si>
    <t>60740-005</t>
  </si>
  <si>
    <t>PARANGABA</t>
  </si>
  <si>
    <t>RUA GERMANO FRANCK, 300</t>
  </si>
  <si>
    <t>60740-020</t>
  </si>
  <si>
    <t>AVENIDA SARGENTO HERMINIO SAMPAIO, 3100</t>
  </si>
  <si>
    <t>60355-512</t>
  </si>
  <si>
    <t>PRESIDENTE KENNEDY</t>
  </si>
  <si>
    <t>RUA DOS PINHEIROS, 929</t>
  </si>
  <si>
    <t>05422-011</t>
  </si>
  <si>
    <t>PINHEIROS</t>
  </si>
  <si>
    <t>AVENIDA REPUBLICA ARGENTINA, 414</t>
  </si>
  <si>
    <t>80240-210</t>
  </si>
  <si>
    <t>RUA PADRE ANCHIETA, 2540</t>
  </si>
  <si>
    <t>Q CLS 309 BLOCO B LOJA, 15 -, ASA SUL</t>
  </si>
  <si>
    <t>70362-520</t>
  </si>
  <si>
    <t>Q SHCN CL QUADRA 310 BLOCO D LOJA, 7 -, ASA NORTE</t>
  </si>
  <si>
    <t>70756-540</t>
  </si>
  <si>
    <t>AVENIDA TUCURUVI, 248</t>
  </si>
  <si>
    <t>02304-000</t>
  </si>
  <si>
    <t>TUCURUVI</t>
  </si>
  <si>
    <t>RUA GOMES DE CARVALHO, 1265</t>
  </si>
  <si>
    <t>04547-005</t>
  </si>
  <si>
    <t>VILA OLIMPIA</t>
  </si>
  <si>
    <t>AVENIDA SETE DE SETEMBRO, 3927</t>
  </si>
  <si>
    <t>80230-010</t>
  </si>
  <si>
    <t>REBOUCAS</t>
  </si>
  <si>
    <t>Q 205 PRACA JANDAIA LOTE 02 LOJA 21</t>
  </si>
  <si>
    <t>71925-000</t>
  </si>
  <si>
    <t>QE 11 AREA ESPECIAL L LOJA 22</t>
  </si>
  <si>
    <t>71020-115</t>
  </si>
  <si>
    <t>GUARA I</t>
  </si>
  <si>
    <t>RUA DAS PAINEIRAS, LOTE 03 RUA 30 NORTE LOTE 4 L</t>
  </si>
  <si>
    <t>71918-000</t>
  </si>
  <si>
    <t>SHS/CLSW 303 BLOCO C LOJAS 24 E 26</t>
  </si>
  <si>
    <t>70673-623</t>
  </si>
  <si>
    <t>AVENIDA JEQUITIBA LOTE 485 LJ 04</t>
  </si>
  <si>
    <t>71929-540</t>
  </si>
  <si>
    <t>EQ 31/33 LOTE 05 LOJA 04 ED. CONSEI</t>
  </si>
  <si>
    <t>71065-901</t>
  </si>
  <si>
    <t>Q CRNW 510 BLOCO B LOJA 12</t>
  </si>
  <si>
    <t>70688-120</t>
  </si>
  <si>
    <t>AVENIDA DAS CASTANHEIRAS LOTE 1310</t>
  </si>
  <si>
    <t>NORTE AGUAS CLARAS</t>
  </si>
  <si>
    <t>AV. ARAUCARIAS LOTE 1345 LOJA 4 E 5</t>
  </si>
  <si>
    <t>SCN QUADRA 2 LOJA T169</t>
  </si>
  <si>
    <t>AVENIDA SANTOS DUMONT, 1261</t>
  </si>
  <si>
    <t>60150-161</t>
  </si>
  <si>
    <t>AVENIDA SENADOR VIRGILIO TAVORA, 1550</t>
  </si>
  <si>
    <t>60170-078</t>
  </si>
  <si>
    <t>RUA EMILIA MARENGO, 84</t>
  </si>
  <si>
    <t>03336-000</t>
  </si>
  <si>
    <t>VILA REGENTE FEIJO</t>
  </si>
  <si>
    <t>AVENIDA SUMARE, 1152</t>
  </si>
  <si>
    <t>05016-090</t>
  </si>
  <si>
    <t>PERDIZES</t>
  </si>
  <si>
    <t>CIDADE JARDIM</t>
  </si>
  <si>
    <t>RUA DOUTOR MARIO FERRAZ, 247</t>
  </si>
  <si>
    <t>01453-010</t>
  </si>
  <si>
    <t>JARDIM AMERICA</t>
  </si>
  <si>
    <t>AVENIDA PADRE ANTONIO TOMAS, 3404</t>
  </si>
  <si>
    <t>60192-120</t>
  </si>
  <si>
    <t>COCO</t>
  </si>
  <si>
    <t>AVENIDA SANTOS DUMONT, 5916</t>
  </si>
  <si>
    <t>60192-022</t>
  </si>
  <si>
    <t>R 36, 0</t>
  </si>
  <si>
    <t>71919-180</t>
  </si>
  <si>
    <t>QNM SETOR M QNM 4 CONJUNTO B 26 4 CONJUNTO B, LOTE, S/N</t>
  </si>
  <si>
    <t>71510-110</t>
  </si>
  <si>
    <t>AVENIDA PROFESSOR FRANCISCO MORATO, 1310</t>
  </si>
  <si>
    <t>05512-100</t>
  </si>
  <si>
    <t>BUTANTA</t>
  </si>
  <si>
    <t>AVENIDA SANTOS DUMONT, 2390</t>
  </si>
  <si>
    <t>AVENIDA BARAO DE STUDART, 1501</t>
  </si>
  <si>
    <t>60120-001</t>
  </si>
  <si>
    <t>RUA PADRE VALDEVINO, 1713</t>
  </si>
  <si>
    <t>60135-041</t>
  </si>
  <si>
    <t>AVENIDA ANTONIO SALES, 2477</t>
  </si>
  <si>
    <t>60135-203</t>
  </si>
  <si>
    <t>AVENIDA TREZE DE MAIO, 1948</t>
  </si>
  <si>
    <t>60040-530</t>
  </si>
  <si>
    <t>FATIMA</t>
  </si>
  <si>
    <t>AVENIDA CORONEL MIGUEL DIAS, 718</t>
  </si>
  <si>
    <t>60810-160</t>
  </si>
  <si>
    <t>GUARARAPES</t>
  </si>
  <si>
    <t>AVENIDA CORONEL JOSE PHILOMENO GOMES, S/N</t>
  </si>
  <si>
    <t>60813-820</t>
  </si>
  <si>
    <t>AVENIDA DOM LUIS, 1219</t>
  </si>
  <si>
    <t>60160-230</t>
  </si>
  <si>
    <t>AVENIDA DA ABOLICAO, 2000</t>
  </si>
  <si>
    <t>60165-080</t>
  </si>
  <si>
    <t>RUA GUAIPA, 36</t>
  </si>
  <si>
    <t>05089-000</t>
  </si>
  <si>
    <t>VILA LEOPOLDINA</t>
  </si>
  <si>
    <t>RUA HENRIQUE SCHAUMANN, 630</t>
  </si>
  <si>
    <t>05413-011</t>
  </si>
  <si>
    <t>ALAMEDA LORENA, 1488</t>
  </si>
  <si>
    <t>AVENIDA JURUCE, 332</t>
  </si>
  <si>
    <t>04080-011</t>
  </si>
  <si>
    <t>INDIANOPOLIS</t>
  </si>
  <si>
    <t>RUA NATINGUI, 818</t>
  </si>
  <si>
    <t>05443-001</t>
  </si>
  <si>
    <t>VILA MADALENA</t>
  </si>
  <si>
    <t>RUA PAMPLONA, 1792</t>
  </si>
  <si>
    <t>01405-002</t>
  </si>
  <si>
    <t>JD PAULISTA</t>
  </si>
  <si>
    <t>PAULISTA</t>
  </si>
  <si>
    <t>AVENIDA PAULISTA, 995</t>
  </si>
  <si>
    <t>01311-100</t>
  </si>
  <si>
    <t>BELA VISTA</t>
  </si>
  <si>
    <t>RUA CAYOWAA, 489</t>
  </si>
  <si>
    <t>05018-000</t>
  </si>
  <si>
    <t>AVENIDA DOUTOR GUILHERME DUMONT VILLARES, 1078</t>
  </si>
  <si>
    <t>05640-001</t>
  </si>
  <si>
    <t>VILA SUZANA</t>
  </si>
  <si>
    <t>ALAMEDA AFONSO SCHMIDT, 494</t>
  </si>
  <si>
    <t>02450-000</t>
  </si>
  <si>
    <t>SANTA TEREZINHA</t>
  </si>
  <si>
    <t>AVENIDA LEAO MACHADO, 100</t>
  </si>
  <si>
    <t>05340-002</t>
  </si>
  <si>
    <t>VILA LAGEADO</t>
  </si>
  <si>
    <t>AVENIDA REBOUCAS, 3970</t>
  </si>
  <si>
    <t>05402-918</t>
  </si>
  <si>
    <t>CERQUEIRA CESAR</t>
  </si>
  <si>
    <t>05402-600</t>
  </si>
  <si>
    <t>RUA PEDRA AZUL, 674</t>
  </si>
  <si>
    <t>04109-000</t>
  </si>
  <si>
    <t>ACLIMACAO</t>
  </si>
  <si>
    <t>R PIO XI, 308</t>
  </si>
  <si>
    <t>05060-000</t>
  </si>
  <si>
    <t>ALTO DA LAPA</t>
  </si>
  <si>
    <t>AVENIDA PROFESSOR MANUEL JOSE CHAVES, 200</t>
  </si>
  <si>
    <t>05463-070</t>
  </si>
  <si>
    <t>ALTO DE PINHEIROS</t>
  </si>
  <si>
    <t>R PEDRO DOLL, 161</t>
  </si>
  <si>
    <t>02404-000</t>
  </si>
  <si>
    <t>SANTANA</t>
  </si>
  <si>
    <t>RUA PAMPLONA, 386</t>
  </si>
  <si>
    <t>01405-000</t>
  </si>
  <si>
    <t>RUA NOVA YORK, 528</t>
  </si>
  <si>
    <t>04560-001</t>
  </si>
  <si>
    <t>BROOKLIN PAULISTA</t>
  </si>
  <si>
    <t>R ANTONIO DE MACEDO SOARES, 1081</t>
  </si>
  <si>
    <t>04607-001</t>
  </si>
  <si>
    <t>CAMPO BELO</t>
  </si>
  <si>
    <t>RUA OSCAR FREIRE, 278</t>
  </si>
  <si>
    <t>01426-000</t>
  </si>
  <si>
    <t>AVENIDA DO CURSINO, 1537</t>
  </si>
  <si>
    <t>04133-100</t>
  </si>
  <si>
    <t>RUA SOCRATES, 240</t>
  </si>
  <si>
    <t>04671-070</t>
  </si>
  <si>
    <t>VILA SOFIA</t>
  </si>
  <si>
    <t>RUA BATATAES, 444</t>
  </si>
  <si>
    <t>01423-010</t>
  </si>
  <si>
    <t>AVENIDA JUREMA, 262</t>
  </si>
  <si>
    <t>04079-001</t>
  </si>
  <si>
    <t>RUA GAIVOTA, 460</t>
  </si>
  <si>
    <t>04522-031</t>
  </si>
  <si>
    <t>MOEMA</t>
  </si>
  <si>
    <t>AVENIDA PACAEMBU, 1782</t>
  </si>
  <si>
    <t>01234-000</t>
  </si>
  <si>
    <t>PACAEMBU</t>
  </si>
  <si>
    <t>RUA TEODORO SAMPAIO, 612</t>
  </si>
  <si>
    <t>05406-000</t>
  </si>
  <si>
    <t>AVENIDA INDIANOPOLIS, 3164</t>
  </si>
  <si>
    <t>04062-003</t>
  </si>
  <si>
    <t>AVENIDA BRAZ LEME, 1700</t>
  </si>
  <si>
    <t>AVENIDA CELSO GARCIA, 4076</t>
  </si>
  <si>
    <t>03064-000</t>
  </si>
  <si>
    <t>TATUAPE</t>
  </si>
  <si>
    <t>TRAVESSA CASALBUONO, 500</t>
  </si>
  <si>
    <t>02049-900</t>
  </si>
  <si>
    <t>VILA GUILHERME</t>
  </si>
  <si>
    <t>AVENIDA DOUTOR CARDOSO DE MELO, 510</t>
  </si>
  <si>
    <t>04548-002</t>
  </si>
  <si>
    <t>RUA JOAO CACHOEIRA, 1244</t>
  </si>
  <si>
    <t>04535-005</t>
  </si>
  <si>
    <t>AVENIDA JOSE GALANTE, 600</t>
  </si>
  <si>
    <t>05642-001</t>
  </si>
  <si>
    <t>RUA PEDRO DE TOLEDO, 417</t>
  </si>
  <si>
    <t>04039-031</t>
  </si>
  <si>
    <t>VILA CLEMENTINO</t>
  </si>
  <si>
    <t>RUA NAPOLEAO DE BARROS, 1248</t>
  </si>
  <si>
    <t>04024-003</t>
  </si>
  <si>
    <t>RUA CORDILHEIRAS, 134</t>
  </si>
  <si>
    <t>05085-010</t>
  </si>
  <si>
    <t>BELA ALIANCA</t>
  </si>
  <si>
    <t>RUA DESEMBARGADOR DO VALE, 1062</t>
  </si>
  <si>
    <t>05010-040</t>
  </si>
  <si>
    <t>TABAPUA</t>
  </si>
  <si>
    <t>RUA TABAPUA, 982</t>
  </si>
  <si>
    <t>04533-004</t>
  </si>
  <si>
    <t>ITAIM BIBI</t>
  </si>
  <si>
    <t>AVENIDA DOS TAJURAS, 245</t>
  </si>
  <si>
    <t>05670-000</t>
  </si>
  <si>
    <t>AVENIDA ANTONIO SALES, 1840</t>
  </si>
  <si>
    <t>60135-102</t>
  </si>
  <si>
    <t>RUA TUTOIA, 372</t>
  </si>
  <si>
    <t>04007-001</t>
  </si>
  <si>
    <t>AV IMPERATRIZ LEOPOLDINA</t>
  </si>
  <si>
    <t>05305-012</t>
  </si>
  <si>
    <t>R BALTAZAR LISBOA, 72</t>
  </si>
  <si>
    <t>04110-060</t>
  </si>
  <si>
    <t>AVENIDA ALFREDO BALTHAZAR DA SILVEIRA, 520</t>
  </si>
  <si>
    <t>22790-710</t>
  </si>
  <si>
    <t>AVENIDA NOSSA SENHORA DE COPACABANA, 723</t>
  </si>
  <si>
    <t>22050-002</t>
  </si>
  <si>
    <t>AVENIDA DAS AMERICAS, 7707</t>
  </si>
  <si>
    <t>22793-081</t>
  </si>
  <si>
    <t>AVENIDA BEZERRA DE MENEZES, 1670</t>
  </si>
  <si>
    <t>60325-001</t>
  </si>
  <si>
    <t>SAO GERARDO</t>
  </si>
  <si>
    <t>R JULIO ABREU, 160</t>
  </si>
  <si>
    <t>60160-240</t>
  </si>
  <si>
    <t>VARJOTA</t>
  </si>
  <si>
    <t>ALAMEDA AFONSO SCHMIDT, 37</t>
  </si>
  <si>
    <t>SANTA TERESINHA</t>
  </si>
  <si>
    <t>AVENIDA JOAO GUALBERTO, 1843</t>
  </si>
  <si>
    <t>80030-001</t>
  </si>
  <si>
    <t>JUVEVE</t>
  </si>
  <si>
    <t>Av. Rui Barbosa, 1253 - Aldeota</t>
  </si>
  <si>
    <t>60115-125</t>
  </si>
  <si>
    <t>ST SCES TRECHO 3 CJ 05, 0, LOTE 03 PARTE A, ASA SUL</t>
  </si>
  <si>
    <t>70200-003</t>
  </si>
  <si>
    <t>RUA 6 CASA, 04, 0, PACHECO FERNANDES, VILA PLANALTO</t>
  </si>
  <si>
    <t>70803-040</t>
  </si>
  <si>
    <t>VILA PLANALTO</t>
  </si>
  <si>
    <t>AVENIDA JOAO DIAS, 2319</t>
  </si>
  <si>
    <t>05815-010</t>
  </si>
  <si>
    <t>JARDIM SAO JOAO</t>
  </si>
  <si>
    <t>R JOAQUIM DE OLIVEIRA FREITAS 1238</t>
  </si>
  <si>
    <t>05133-002</t>
  </si>
  <si>
    <t>JARDIM SANTO ELIAS</t>
  </si>
  <si>
    <t>AVENIDA MERCURIO, 214</t>
  </si>
  <si>
    <t>03007-000</t>
  </si>
  <si>
    <t>BRAS</t>
  </si>
  <si>
    <t>RUA BARTOLOMEU LOURENCO DE GUSMAO, 2199</t>
  </si>
  <si>
    <t>80240-320</t>
  </si>
  <si>
    <t>AVENIDA AGUA VERDE, 469</t>
  </si>
  <si>
    <t>80620-200</t>
  </si>
  <si>
    <t>ESTRADA DO GALEAO, 1035</t>
  </si>
  <si>
    <t>ILHA DO GOVERNADOR</t>
  </si>
  <si>
    <t>21931-383</t>
  </si>
  <si>
    <t>JARDIM GUANABARA</t>
  </si>
  <si>
    <t>RUA PIRAQUARA, 136</t>
  </si>
  <si>
    <t>81910-030</t>
  </si>
  <si>
    <t>SITIO CERCADO</t>
  </si>
  <si>
    <t>RUA CYRILLO MERLIN, 241</t>
  </si>
  <si>
    <t>81020-235</t>
  </si>
  <si>
    <t>AVENIDA GEREMARIO DANTAS, 100</t>
  </si>
  <si>
    <t>22735-015</t>
  </si>
  <si>
    <t>TANQUE</t>
  </si>
  <si>
    <t>RUA MAESTRO CARLOS FRANK, 2812</t>
  </si>
  <si>
    <t>81750-400</t>
  </si>
  <si>
    <t>BOQUEIRAO</t>
  </si>
  <si>
    <t>AVENIDA ANITA GARIBALDI, 1874</t>
  </si>
  <si>
    <t>82200-540</t>
  </si>
  <si>
    <t>RUA JANUARIO ALVES DE SOUZA, 847</t>
  </si>
  <si>
    <t>81750-370</t>
  </si>
  <si>
    <t>AVENIDA REPUBLICA ARGENTINA, 1067</t>
  </si>
  <si>
    <t>AVENIDA MERCURIO, 130</t>
  </si>
  <si>
    <t>RUA CASTRO, 214</t>
  </si>
  <si>
    <t>80620-300</t>
  </si>
  <si>
    <t>RUA MINISTRO JESUINO CARDOSO, 592</t>
  </si>
  <si>
    <t>04544-051</t>
  </si>
  <si>
    <t>AVENIDA DUQUE DE CAXIAS, 697</t>
  </si>
  <si>
    <t>60035-111</t>
  </si>
  <si>
    <t>RUA CONEGO DE CASTRO, 3858</t>
  </si>
  <si>
    <t>60730-202</t>
  </si>
  <si>
    <t>PARQUE SAO JOSE</t>
  </si>
  <si>
    <t>RUA FRANCISCO DALLALIBERA, 1539</t>
  </si>
  <si>
    <t>82030-290</t>
  </si>
  <si>
    <t>SANTA FELICIDADE</t>
  </si>
  <si>
    <t>RUA FRANCISCO DEROSSO, 3073</t>
  </si>
  <si>
    <t>81720-000</t>
  </si>
  <si>
    <t>XAXIM</t>
  </si>
  <si>
    <t>RUA MATEUS LEME, 2690</t>
  </si>
  <si>
    <t>80530-010</t>
  </si>
  <si>
    <t>CENTRO CIVICO</t>
  </si>
  <si>
    <t>AVENIDA JABAQUARA, 619</t>
  </si>
  <si>
    <t>04045-001</t>
  </si>
  <si>
    <t>MIRANDOPOLIS</t>
  </si>
  <si>
    <t>AVENIDA LUCIANO CARNEIRO, 1437</t>
  </si>
  <si>
    <t>60410-691</t>
  </si>
  <si>
    <t>VILA UNIAO</t>
  </si>
  <si>
    <t>AVENIDA REPUBLICA ARGENTINA, 2835</t>
  </si>
  <si>
    <t>80610-260</t>
  </si>
  <si>
    <t>RUA PETIT CARNEIRO, 1125</t>
  </si>
  <si>
    <t>80240-050</t>
  </si>
  <si>
    <t>AVENIDA PREFEITO ERASTO GAERTNER, 113</t>
  </si>
  <si>
    <t>82510-160</t>
  </si>
  <si>
    <t>AVENIDA SILVA JARDIM, 921</t>
  </si>
  <si>
    <t>80230-000</t>
  </si>
  <si>
    <t>RUA REINALDINO SCHAFFENBERG DE QUADROS, 1410</t>
  </si>
  <si>
    <t>80050-435</t>
  </si>
  <si>
    <t>RUA BARREIROS, 20 (NOVO ENDEREÇO RUA HENRIQUE DE MELO, 1330 BENTO RIBEIRO)</t>
  </si>
  <si>
    <t>21340-190</t>
  </si>
  <si>
    <t>BENTO RIBEIRO</t>
  </si>
  <si>
    <t>AVENIDA VEREADOR TOALDO TULIO, 1199</t>
  </si>
  <si>
    <t>82320-010</t>
  </si>
  <si>
    <t>RUA DELEGADO LEOPOLDO BELCZAK, 1669</t>
  </si>
  <si>
    <t>82810-060</t>
  </si>
  <si>
    <t>CAPAO DA IMBUIA</t>
  </si>
  <si>
    <t>AVENIDA MARECHAL FLORIANO PEIXOTO, 10299</t>
  </si>
  <si>
    <t>81730-000</t>
  </si>
  <si>
    <t>RUA INACIO LUSTOSA, 209</t>
  </si>
  <si>
    <t>80510-000</t>
  </si>
  <si>
    <t>SAO FRANCISCO</t>
  </si>
  <si>
    <t>AVENIDA MARGINAL DIREITA ANCHIETA, 3398</t>
  </si>
  <si>
    <t>04182-001</t>
  </si>
  <si>
    <t>JARDIM SANTA CRUZ (SACOMA)</t>
  </si>
  <si>
    <t>R LANDOLFO DE ANDRADE, 345</t>
  </si>
  <si>
    <t>05855-290</t>
  </si>
  <si>
    <t>PARQUE MARIA HELENA</t>
  </si>
  <si>
    <t>AVENIDA CABO ADAO PEREIRA, 2</t>
  </si>
  <si>
    <t>02936-010</t>
  </si>
  <si>
    <t>VILA PEREIRA BARRETO</t>
  </si>
  <si>
    <t>AVENIDA MOZART PINHEIRO DE LUCENA, 1963</t>
  </si>
  <si>
    <t>60347-455</t>
  </si>
  <si>
    <t>VILA VELHA</t>
  </si>
  <si>
    <t>RUA BRASILIO ITIBERE, 1896</t>
  </si>
  <si>
    <t>SETOR SHCN EQ 406/407 BL A LJ 42 TERREO SN, 0, 0, ASA NORTE</t>
  </si>
  <si>
    <t>70847-400</t>
  </si>
  <si>
    <t>TRAVESSA CASALBUONO, 120</t>
  </si>
  <si>
    <t>08210-040</t>
  </si>
  <si>
    <t>ESTRADA DOS TRES RIOS, 10</t>
  </si>
  <si>
    <t>22755-900</t>
  </si>
  <si>
    <t>AVENIDA NOSSA SENHORA DE COPACABANA, 1144</t>
  </si>
  <si>
    <t>22060-002</t>
  </si>
  <si>
    <t>RUA DO ROSARIO, 76</t>
  </si>
  <si>
    <t>20041-002</t>
  </si>
  <si>
    <t>RUA CHICO PONTES, 443</t>
  </si>
  <si>
    <t>02074-000</t>
  </si>
  <si>
    <t>AVENIDA SENADOR SOUZA NAVES, 274</t>
  </si>
  <si>
    <t>80045-060</t>
  </si>
  <si>
    <t>ALTO DA RUA XV</t>
  </si>
  <si>
    <t>AVENIDA ANITA GARIBALDI, 984</t>
  </si>
  <si>
    <t>80035-340</t>
  </si>
  <si>
    <t>CABRAL</t>
  </si>
  <si>
    <t>RUA JOAO ALENCAR GUIMARAES, 21</t>
  </si>
  <si>
    <t>80310-420</t>
  </si>
  <si>
    <t>SANTA QUITERIA</t>
  </si>
  <si>
    <t>Q CLN 105 BLOCO A SN, 0, , ASA NORTE</t>
  </si>
  <si>
    <t>70734-510</t>
  </si>
  <si>
    <t>Av. Rogaciano Leite, 2080</t>
  </si>
  <si>
    <t>60810-792</t>
  </si>
  <si>
    <t>SALINAS</t>
  </si>
  <si>
    <t>RUA CAPITAO LEONIDAS MARQUES, 1755</t>
  </si>
  <si>
    <t>81550-000</t>
  </si>
  <si>
    <t>UBERABA</t>
  </si>
  <si>
    <t>RUA SETE DE SETEMBRO, 125</t>
  </si>
  <si>
    <t>20050-006</t>
  </si>
  <si>
    <t>RUA GENERAL MARIO TOURINHO, 1266</t>
  </si>
  <si>
    <t>80240-000</t>
  </si>
  <si>
    <t>AVENIDA NOSSA SENHORA DE LOURDES, 63</t>
  </si>
  <si>
    <t>81530-020</t>
  </si>
  <si>
    <t>JARDIM DAS AMERICAS</t>
  </si>
  <si>
    <t>RUA SERRA DE BRAGANCA, 1186</t>
  </si>
  <si>
    <t>03318-000</t>
  </si>
  <si>
    <t>VILA GOMES CARDIM</t>
  </si>
  <si>
    <t>ALAMEDA AFONSO SCHMIDT, 91</t>
  </si>
  <si>
    <t>AVENIDA SANTA INES, 1419</t>
  </si>
  <si>
    <t>02415-002</t>
  </si>
  <si>
    <t>PARQUE MANDAQUI</t>
  </si>
  <si>
    <t>ST SHCS CL QUADRA 105 BLOCO B LOJAS 08 E 10 SN</t>
  </si>
  <si>
    <t>70344-520</t>
  </si>
  <si>
    <t>ST SHCN CL QD. 315 BLOCO B LOJA 03, 04 TERREO LOJA 15</t>
  </si>
  <si>
    <t>70774-520</t>
  </si>
  <si>
    <t>CLN QUADRA 103 BLOCO B LOJAS 40 E 44 SN</t>
  </si>
  <si>
    <t>70732-520</t>
  </si>
  <si>
    <t>CLSW 103 BLOCO C LOJAS 44, 58, 46 TERREO SN</t>
  </si>
  <si>
    <t>70670-523</t>
  </si>
  <si>
    <t>SUDOESTE</t>
  </si>
  <si>
    <t>AVENIDA PARANA, 3220</t>
  </si>
  <si>
    <t>AVENIDA PREFEITO ERASTO GAERTNER, 390</t>
  </si>
  <si>
    <t>AVENIDA GOVERNADOR NEY BRAGA, 14005</t>
  </si>
  <si>
    <t>81690-200</t>
  </si>
  <si>
    <t>HAUER</t>
  </si>
  <si>
    <t>RUA AUGUSTO STRESSER, 1472</t>
  </si>
  <si>
    <t>80040-345</t>
  </si>
  <si>
    <t>HUGO LANGE</t>
  </si>
  <si>
    <t>AVENIDA IGUACU, 1705</t>
  </si>
  <si>
    <t>80240-030</t>
  </si>
  <si>
    <t>AVENIDA ENG. SANTANA JR, 2277</t>
  </si>
  <si>
    <t>60192-205</t>
  </si>
  <si>
    <t>AVENIDA SANTOS DUMONT, 3000</t>
  </si>
  <si>
    <t>R. GEN. CLARINDO DE QUEIROZ, 641</t>
  </si>
  <si>
    <t>60035-130</t>
  </si>
  <si>
    <t>RUA CONDE DE BONFIM, 678</t>
  </si>
  <si>
    <t>20520-055</t>
  </si>
  <si>
    <t>AVENIDA PRESIDENTE AFFONSO CAMARGO, 1939</t>
  </si>
  <si>
    <t>80050-370</t>
  </si>
  <si>
    <t>AVENIDA SANTOS DUMONT, 3131</t>
  </si>
  <si>
    <t>60150-165</t>
  </si>
  <si>
    <t>RUA MARQUES DE ABRANTES, 118</t>
  </si>
  <si>
    <t>22230-061</t>
  </si>
  <si>
    <t>FLAMENGO</t>
  </si>
  <si>
    <t>ESTRADA DOS TRES RIOS, 90</t>
  </si>
  <si>
    <t>22745-005</t>
  </si>
  <si>
    <t>JACAREPAGUA</t>
  </si>
  <si>
    <t>AVENIDA FREI CIRILO, 3840</t>
  </si>
  <si>
    <t>MESSEJANA</t>
  </si>
  <si>
    <t>ESTRADA DO GALEAO, 2800</t>
  </si>
  <si>
    <t>21931-582</t>
  </si>
  <si>
    <t>PORTUGUESA</t>
  </si>
  <si>
    <t>AVENIDA BEZERRA DE MENEZES, 2450</t>
  </si>
  <si>
    <t>60325-002</t>
  </si>
  <si>
    <t>AVENIDA LINEU MACHADO, 419</t>
  </si>
  <si>
    <t>60520-101</t>
  </si>
  <si>
    <t>JOQUEI CLUBE</t>
  </si>
  <si>
    <t>AVENIDA CARLOS JEREISSATI, 100</t>
  </si>
  <si>
    <t>61901-012</t>
  </si>
  <si>
    <t>JEREISSATI II</t>
  </si>
  <si>
    <t>AVENIDA NOSSA SENHORA DE COPACABANA, 646</t>
  </si>
  <si>
    <t>22050-001</t>
  </si>
  <si>
    <t>RUA CONDE DE BONFIM, 383</t>
  </si>
  <si>
    <t>20520-051</t>
  </si>
  <si>
    <t>R DA QUITANDA, 45</t>
  </si>
  <si>
    <t>20011-030</t>
  </si>
  <si>
    <t>AVENIDA CARAPINIMA, 2200</t>
  </si>
  <si>
    <t>60015-290</t>
  </si>
  <si>
    <t>BENFICA</t>
  </si>
  <si>
    <t>RUA LAURO NOGUEIRA,1500</t>
  </si>
  <si>
    <t>AVENIDA MARACANA, 987</t>
  </si>
  <si>
    <t>20511-000</t>
  </si>
  <si>
    <t>AVENIDA WASHIGTON SOARES, 4335</t>
  </si>
  <si>
    <t>60833-005</t>
  </si>
  <si>
    <t>SAPIRANGA-COITE</t>
  </si>
  <si>
    <t>RUA DOUTOR ALCEU DE CAMPOS RODRIGUES, 468</t>
  </si>
  <si>
    <t>04544-000</t>
  </si>
  <si>
    <t>R. DA MOOCA, 2700</t>
  </si>
  <si>
    <t>03403-003</t>
  </si>
  <si>
    <t>VILA CARRAO</t>
  </si>
  <si>
    <t>AVENIDA CONSELHEIRO CARRAO, 3319</t>
  </si>
  <si>
    <t>R. EMILIA MARENGO, 57</t>
  </si>
  <si>
    <t>AVENIDA SAPOPEMBA, 3386</t>
  </si>
  <si>
    <t>RUA PAIS DE ARAUJO, 22</t>
  </si>
  <si>
    <t>04531-090</t>
  </si>
  <si>
    <t>ALAMEDA LORENA, 264</t>
  </si>
  <si>
    <t>01424-000</t>
  </si>
  <si>
    <t>AVENIDA DIOGENES RIBEIRO DE LIMA, 2555</t>
  </si>
  <si>
    <t>05458-001</t>
  </si>
  <si>
    <t>AVENIDA WASHINGTON LUIS, 1749</t>
  </si>
  <si>
    <t>04662-002</t>
  </si>
  <si>
    <t>SANTO AMARO</t>
  </si>
  <si>
    <t>RUA DOUTOR MANOEL PEDRO, 205</t>
  </si>
  <si>
    <t>80035-030</t>
  </si>
  <si>
    <t>AVENIDA NOSSA SENHORA APARECIDA, 904</t>
  </si>
  <si>
    <t>80310-100</t>
  </si>
  <si>
    <t>SEMINARIO</t>
  </si>
  <si>
    <t>RUA FRANCISCO DALLALIBERA, 1550</t>
  </si>
  <si>
    <t>RUA TIROL, 356</t>
  </si>
  <si>
    <t>22750-009</t>
  </si>
  <si>
    <t>FREGUESIA DE JACAREPAGUA</t>
  </si>
  <si>
    <t>RUA BOM PASTOR, 2133</t>
  </si>
  <si>
    <t>04203-052</t>
  </si>
  <si>
    <t>IPIRANGA</t>
  </si>
  <si>
    <t>AVENIDA CASSANDOCA, 84</t>
  </si>
  <si>
    <t>03169-010</t>
  </si>
  <si>
    <t>MOOCA</t>
  </si>
  <si>
    <t>AVENIDA ALFREDO BALTHAZAR DA SILVEIRA, 96</t>
  </si>
  <si>
    <t>AVENIDA ERICO VERISSIMO, 843</t>
  </si>
  <si>
    <t>RUA REAL GRANDEZA, 264</t>
  </si>
  <si>
    <t>22281-036</t>
  </si>
  <si>
    <t>RUA MACHADO DE ASSIS, 40</t>
  </si>
  <si>
    <t>22220-050</t>
  </si>
  <si>
    <t>ESTRADA CEL. PEDRO CORREA, 133</t>
  </si>
  <si>
    <t>22775-090</t>
  </si>
  <si>
    <t>RUA DAS LARANJEIRAS, 425</t>
  </si>
  <si>
    <t>22240-900</t>
  </si>
  <si>
    <t>LARANJEIRAS</t>
  </si>
  <si>
    <t>AVENIDA DAS AMERICAS, 17145</t>
  </si>
  <si>
    <t>22790-703</t>
  </si>
  <si>
    <t>AVENIDA DAS AMERICAS, 17000</t>
  </si>
  <si>
    <t>RUA ACURUI, 352</t>
  </si>
  <si>
    <t>03355-000</t>
  </si>
  <si>
    <t>VILA FORMOSA</t>
  </si>
  <si>
    <t>RUA DOS BELGAS, 67</t>
  </si>
  <si>
    <t>01329-040</t>
  </si>
  <si>
    <t>MORRO DOS INGLESES</t>
  </si>
  <si>
    <t>AVENIDA JOAO CARLOS DA SILVA BORGES, 747</t>
  </si>
  <si>
    <t>04726-001</t>
  </si>
  <si>
    <t>VILA CRUZEIRO</t>
  </si>
  <si>
    <t>AVENIDA WASHINGTON LUIS, 1330</t>
  </si>
  <si>
    <t>RUA IBITURUNA, 400</t>
  </si>
  <si>
    <t>04302-052</t>
  </si>
  <si>
    <t>PARQUE IMPERIAL</t>
  </si>
  <si>
    <t>AVENIDA SANTA CATARINA, 571</t>
  </si>
  <si>
    <t>04635-001</t>
  </si>
  <si>
    <t>VILA ALEXANDRIA</t>
  </si>
  <si>
    <t>AVENIDA DOUTOR ALTINO ARANTES, 340</t>
  </si>
  <si>
    <t>04042-002</t>
  </si>
  <si>
    <t>RUA SANTA CRUZ, 1884</t>
  </si>
  <si>
    <t>04122-002</t>
  </si>
  <si>
    <t>AVENIDA LUIZ DUMONT VILLARES, 522</t>
  </si>
  <si>
    <t>02085-000</t>
  </si>
  <si>
    <t>AVENIDA ANTONIO SALES, 3110</t>
  </si>
  <si>
    <t>R PROFESSOR DIAS DA ROCHA, 800</t>
  </si>
  <si>
    <t>60170-285</t>
  </si>
  <si>
    <t>60811-900</t>
  </si>
  <si>
    <t>AVENIDA DA ABOLICAO, 2019</t>
  </si>
  <si>
    <t>60165-075</t>
  </si>
  <si>
    <t>60510-290</t>
  </si>
  <si>
    <t>AVENIDA SETE DE SETEMBRO, 6234</t>
  </si>
  <si>
    <t>80240-001</t>
  </si>
  <si>
    <t>AVENIDA CANDIDO HARTMANN, 3570</t>
  </si>
  <si>
    <t>82010-000</t>
  </si>
  <si>
    <t>RUA DOMINGOS DE MORAIS, 755</t>
  </si>
  <si>
    <t>04009-001</t>
  </si>
  <si>
    <t>RUA DOS CAPITAES MORES, 435</t>
  </si>
  <si>
    <t>03167-030</t>
  </si>
  <si>
    <t>R BENTO DE ANDRADE, 30</t>
  </si>
  <si>
    <t>04503-010</t>
  </si>
  <si>
    <t>AV. IBIRAPUERA, 1280</t>
  </si>
  <si>
    <t>04028-000</t>
  </si>
  <si>
    <t>R DA CONSOLACAO, 2294 2298 2302 2316 LJ 2</t>
  </si>
  <si>
    <t>01302-001</t>
  </si>
  <si>
    <t>CONSOLACAO</t>
  </si>
  <si>
    <t>R MAESTRO CARDIM, 297 301 307 317</t>
  </si>
  <si>
    <t>02313-000</t>
  </si>
  <si>
    <t>AV. IBIRAPUERA, 2036</t>
  </si>
  <si>
    <t>04028-001</t>
  </si>
  <si>
    <t>AV. DR GENTIL DE MOURA, 87</t>
  </si>
  <si>
    <t>04278-080</t>
  </si>
  <si>
    <t>AV. JANDIRA, 480</t>
  </si>
  <si>
    <t>04080-003</t>
  </si>
  <si>
    <t>AV. MOEMA, 321 331</t>
  </si>
  <si>
    <t>04077-020</t>
  </si>
  <si>
    <t>PLANALTO PAULISTA</t>
  </si>
  <si>
    <t>AV. MORUMBI, 6839 LJ 1</t>
  </si>
  <si>
    <t>05650-002</t>
  </si>
  <si>
    <t>MORUMBI</t>
  </si>
  <si>
    <t>AL SANTOS, 1102 1112</t>
  </si>
  <si>
    <t>01418-100</t>
  </si>
  <si>
    <t>R OTAV. IO TARQUINIO DE SOUZA, 1031</t>
  </si>
  <si>
    <t>04613-003</t>
  </si>
  <si>
    <t>AV. PADRE ANTONIO JOSE DOS SANTOS, 1348</t>
  </si>
  <si>
    <t>04563-004</t>
  </si>
  <si>
    <t>CIDADE MONCÕES</t>
  </si>
  <si>
    <t>AV. SOUZA RAMOS, 104</t>
  </si>
  <si>
    <t>08490-490</t>
  </si>
  <si>
    <t>CIDADE TIRADENTES</t>
  </si>
  <si>
    <t>R. DA MOOCA, 3691</t>
  </si>
  <si>
    <t>03165-001</t>
  </si>
  <si>
    <t>ALTO DA MOOCA</t>
  </si>
  <si>
    <t>RUA BOM PASTOR, 1778</t>
  </si>
  <si>
    <t>04203-002</t>
  </si>
  <si>
    <t>AL DOS MARACATINS, 539</t>
  </si>
  <si>
    <t>04089-011</t>
  </si>
  <si>
    <t>R CONSELHEIRO BROTERO, 1469 LJ 01</t>
  </si>
  <si>
    <t>01232-011</t>
  </si>
  <si>
    <t>SANTA CECILIA</t>
  </si>
  <si>
    <t>AV. PAES DE BARROS, 2200</t>
  </si>
  <si>
    <t>03114-001</t>
  </si>
  <si>
    <t>R ALMEIDA TORRES, 150</t>
  </si>
  <si>
    <t>01530-010</t>
  </si>
  <si>
    <t>LIBERDADE</t>
  </si>
  <si>
    <t>EST DO LAGEADO VELHO, 767</t>
  </si>
  <si>
    <t>08451-055</t>
  </si>
  <si>
    <t>GUAIANAZES</t>
  </si>
  <si>
    <t>AV. JOSE MARIA WHITAKER, 908</t>
  </si>
  <si>
    <t>04057-000</t>
  </si>
  <si>
    <t>R PAMPLONA, 1130</t>
  </si>
  <si>
    <t>01405-001</t>
  </si>
  <si>
    <t>R JOAQUIM FLORIANO, 277</t>
  </si>
  <si>
    <t>04534-010</t>
  </si>
  <si>
    <t>AV. JORGE JOAO SAAD, 900 LJ 05</t>
  </si>
  <si>
    <t>05618-001</t>
  </si>
  <si>
    <t>VILA PROGREDIOR</t>
  </si>
  <si>
    <t>R JOAQUIM FLORIANO, 682</t>
  </si>
  <si>
    <t>04534-002</t>
  </si>
  <si>
    <t>PC VILABOIM NS 64 E 58 LJS01 E 02</t>
  </si>
  <si>
    <t>01241-010</t>
  </si>
  <si>
    <t>HIGIENOPOLIS</t>
  </si>
  <si>
    <t>R DOM AGUIRRE, 40 LJ 04</t>
  </si>
  <si>
    <t>04671-245</t>
  </si>
  <si>
    <t>R TOBIAS BARRETO, 964</t>
  </si>
  <si>
    <t>03176-001</t>
  </si>
  <si>
    <t>BELENZINHO</t>
  </si>
  <si>
    <t>LGO NOSSA SENHORA DO BOM PARTO 133</t>
  </si>
  <si>
    <t>03322-080</t>
  </si>
  <si>
    <t>AV. SAO MIGUEL, 18/20 /TERREO22-30</t>
  </si>
  <si>
    <t>03620-000</t>
  </si>
  <si>
    <t>VILA MARIETA</t>
  </si>
  <si>
    <t>R PEDRA AZUL, 607</t>
  </si>
  <si>
    <t>JARDIM NOSSA SENHORA APARECIDA</t>
  </si>
  <si>
    <t>PC PDE DAMIAO, 9 - TERREO 13-19-23</t>
  </si>
  <si>
    <t>03126-050</t>
  </si>
  <si>
    <t>VILA PRUDENTE</t>
  </si>
  <si>
    <t>R DR ADEMAR QUEIROZ DE MORAIS, 1001-A</t>
  </si>
  <si>
    <t>04623-060</t>
  </si>
  <si>
    <t>BROOKLIN</t>
  </si>
  <si>
    <t>AV. FAGUNDES FILHO, 300 E 306</t>
  </si>
  <si>
    <t>04304-000</t>
  </si>
  <si>
    <t>VILA MONTE ALEGRE</t>
  </si>
  <si>
    <t>R MARECHAL HASTIFILO DE MOURA, 335</t>
  </si>
  <si>
    <t>05641-000</t>
  </si>
  <si>
    <t>VILA SONIA</t>
  </si>
  <si>
    <t>AV. BRIGADEIRO LUIS ANTONIO, 3355</t>
  </si>
  <si>
    <t>01401-001</t>
  </si>
  <si>
    <t>R FREI CANECA, 569/ TERREOLOJA 141/142/143/144</t>
  </si>
  <si>
    <t>01307-001</t>
  </si>
  <si>
    <t>AV. LAV. ANDISCA, 116</t>
  </si>
  <si>
    <t>04515-010</t>
  </si>
  <si>
    <t>AV. IPIRANGA, 855</t>
  </si>
  <si>
    <t>01039-000</t>
  </si>
  <si>
    <t>CAMPOS ELISEOS</t>
  </si>
  <si>
    <t>AL LORENA, 807</t>
  </si>
  <si>
    <t>01424-005</t>
  </si>
  <si>
    <t>AV SAPOPEMBA, 1118</t>
  </si>
  <si>
    <t>03345-000</t>
  </si>
  <si>
    <t>VILA ESTER</t>
  </si>
  <si>
    <t>AV. INDIANOPOLIS, 2010</t>
  </si>
  <si>
    <t>04062-002</t>
  </si>
  <si>
    <t>R CLODOMIRO AMAZONAS, 1327</t>
  </si>
  <si>
    <t>04537-012</t>
  </si>
  <si>
    <t>R DR CHIBATA MIYAKOSHI, 107 111 115 119</t>
  </si>
  <si>
    <t>05705-170</t>
  </si>
  <si>
    <t>R HARRY DANHENBERG, 309</t>
  </si>
  <si>
    <t>08270-010</t>
  </si>
  <si>
    <t>VILA CARMOSINA</t>
  </si>
  <si>
    <t>R VIEIRA DE MORAES, 1685</t>
  </si>
  <si>
    <t>04617-015</t>
  </si>
  <si>
    <t>AV. ANGELICA, 1003</t>
  </si>
  <si>
    <t>01227-100</t>
  </si>
  <si>
    <t>AV. PROF ABRAAO DE MORAES, 2233 LJ 02</t>
  </si>
  <si>
    <t>04123-011</t>
  </si>
  <si>
    <t>JARDIM DA SAÚDE</t>
  </si>
  <si>
    <t>AV. PROF FRANCISCO MORATO, 2878</t>
  </si>
  <si>
    <t>05512-300</t>
  </si>
  <si>
    <t>R ELISA SILVEIRA, 57</t>
  </si>
  <si>
    <t>04152-000</t>
  </si>
  <si>
    <t>VILA AGUA FUNDA</t>
  </si>
  <si>
    <t>AV. WASHINGTON LUIS, 2737 LJ 01 E 02</t>
  </si>
  <si>
    <t>04662-003</t>
  </si>
  <si>
    <t>AV. ENG GEORGE CORBISIER, 198</t>
  </si>
  <si>
    <t>04345-000</t>
  </si>
  <si>
    <t>JABAQUARA</t>
  </si>
  <si>
    <t>R AMERICO BRASILIENSE, 1842/1844</t>
  </si>
  <si>
    <t>04715-004</t>
  </si>
  <si>
    <t>CHACARA SANTO ANTONIO</t>
  </si>
  <si>
    <t>AV. DR ALTINO ARANTES, 307</t>
  </si>
  <si>
    <t>04042-032</t>
  </si>
  <si>
    <t>AV. INTERLAGOS, 5880 LJ 03</t>
  </si>
  <si>
    <t>04777-000</t>
  </si>
  <si>
    <t>INTERLAGOS</t>
  </si>
  <si>
    <t>AV. CONSELHEIRO CARRAO, 652 LJ 2</t>
  </si>
  <si>
    <t>03402-000</t>
  </si>
  <si>
    <t>EST DE ITAPECERICA, 4079</t>
  </si>
  <si>
    <t>05849-440</t>
  </si>
  <si>
    <t>AV. PRESIDENTE JOAO GOULART, 1028 FARMACIA</t>
  </si>
  <si>
    <t>04821-000</t>
  </si>
  <si>
    <t>JARDIM MARIA II</t>
  </si>
  <si>
    <t>AVENIDA SERAFIM GONCALVES PEREIRA, 327</t>
  </si>
  <si>
    <t>03356-001</t>
  </si>
  <si>
    <t>AV. MANUEL BANDEIRA, 291 BL C LJ 5</t>
  </si>
  <si>
    <t>05317-020</t>
  </si>
  <si>
    <t>PC DOS OMAGUAS, 119</t>
  </si>
  <si>
    <t>05419-020</t>
  </si>
  <si>
    <t>R FRADIQUE COUTINHO, 1284</t>
  </si>
  <si>
    <t>05416-001</t>
  </si>
  <si>
    <t>AV. DR GUILHERME DUMONT VILLARES, 1450, LJ 02</t>
  </si>
  <si>
    <t>05640-003</t>
  </si>
  <si>
    <t>JARDIM LONDRINA</t>
  </si>
  <si>
    <t>AV. PROF FRANCISCO MORATO, 1070</t>
  </si>
  <si>
    <t>INSTITUTO DE PREVIDENCIA</t>
  </si>
  <si>
    <t>AV. DR VITAL BRASIL, 1250 LJ 02</t>
  </si>
  <si>
    <t>05503-000</t>
  </si>
  <si>
    <t>AV. SUMARE, 1267 1297</t>
  </si>
  <si>
    <t>05016-110</t>
  </si>
  <si>
    <t>R AUGUSTO TOLLE, 771 LJS 06 07 08</t>
  </si>
  <si>
    <t>02405-001</t>
  </si>
  <si>
    <t>PC PANAMERICANA, 50 LJ 02</t>
  </si>
  <si>
    <t>05461-000</t>
  </si>
  <si>
    <t>R PASSO DA PATRIA, 1010</t>
  </si>
  <si>
    <t>05085-000</t>
  </si>
  <si>
    <t>R CAYOWAA, 802</t>
  </si>
  <si>
    <t>05018-001</t>
  </si>
  <si>
    <t>R CARDOSO DE ALMEIDA, 520</t>
  </si>
  <si>
    <t>05013-000</t>
  </si>
  <si>
    <t>R CERRO CORA, 472 474</t>
  </si>
  <si>
    <t>05061-000</t>
  </si>
  <si>
    <t>VILA ROMANA</t>
  </si>
  <si>
    <t>AV. DIOGENES RIBEIRO DE LIMA, 2282 - LJ 1</t>
  </si>
  <si>
    <t>R NATINGUI,1220</t>
  </si>
  <si>
    <t>05443-002</t>
  </si>
  <si>
    <t>R TEODORO SAMPAIO, 2014</t>
  </si>
  <si>
    <t>05406-150</t>
  </si>
  <si>
    <t>R WILLIS ROBERTO BANKS, 17 TERREO</t>
  </si>
  <si>
    <t>05128-000</t>
  </si>
  <si>
    <t>PARQUE VILA DOMITILA</t>
  </si>
  <si>
    <t>R ALAGOAS, 12</t>
  </si>
  <si>
    <t>08223-269</t>
  </si>
  <si>
    <t>CIDADE ANTONIO ESTEVAO DE CARVALHO</t>
  </si>
  <si>
    <t xml:space="preserve">R CLELIA, 1547 </t>
  </si>
  <si>
    <t>05042-000</t>
  </si>
  <si>
    <t>LAPA</t>
  </si>
  <si>
    <t>R CLAUDIO, 338</t>
  </si>
  <si>
    <t>03693-000</t>
  </si>
  <si>
    <t>JARDIM COIMBRA</t>
  </si>
  <si>
    <t>R PIO XI, 1377</t>
  </si>
  <si>
    <t>05060-001</t>
  </si>
  <si>
    <t>VILA IDA</t>
  </si>
  <si>
    <t>AV. LUIZ DUMONT VILLARES, 829 LJ 05</t>
  </si>
  <si>
    <t>02085-100</t>
  </si>
  <si>
    <t>JARDIM SAO PAULO</t>
  </si>
  <si>
    <t>AV. CONCEICAO, 2055</t>
  </si>
  <si>
    <t>02072-002</t>
  </si>
  <si>
    <t>VILA LEONOR</t>
  </si>
  <si>
    <t>AV. ANTARTICA, 380 ARCO 1103 TERREO BLOCO A</t>
  </si>
  <si>
    <t>05003-020</t>
  </si>
  <si>
    <t>AGUA BRANCA</t>
  </si>
  <si>
    <t>AV. AGUA FRIA, 1680</t>
  </si>
  <si>
    <t>02332-001</t>
  </si>
  <si>
    <t>AGUA FRIA</t>
  </si>
  <si>
    <t>PC DELEGADO AMOROSO NETO, 21/ 27</t>
  </si>
  <si>
    <t>02518-050</t>
  </si>
  <si>
    <t>R BARAO DE JUNDIAI, 296/300</t>
  </si>
  <si>
    <t>05073-010</t>
  </si>
  <si>
    <t>AL BARAO DE LIMEIRA, 668</t>
  </si>
  <si>
    <t>01202-000</t>
  </si>
  <si>
    <t xml:space="preserve">R. ARTUR, 730 COMPLEMENTO 740 </t>
  </si>
  <si>
    <t>02467-120</t>
  </si>
  <si>
    <t>IMIRIM</t>
  </si>
  <si>
    <t>TRAV. CASALBUONO, 120 LJS 409/411</t>
  </si>
  <si>
    <t>02089-900</t>
  </si>
  <si>
    <t>R VOLUNTARIOS DA PATRIA, 3206</t>
  </si>
  <si>
    <t>02402-300</t>
  </si>
  <si>
    <t>AV. CONSELHEIRO MOREIRA DE BARROS, 2780 LJS 1030 E 1</t>
  </si>
  <si>
    <t>02430-001</t>
  </si>
  <si>
    <t>AV. PROF CELESTINO BOURROUL, 730</t>
  </si>
  <si>
    <t>02710-001</t>
  </si>
  <si>
    <t>LIMAO</t>
  </si>
  <si>
    <t>AV. DIOGENES RIBEIRO DE LIMA, 3234 COMPL 3246</t>
  </si>
  <si>
    <t>05083-010</t>
  </si>
  <si>
    <t>AV. DAS CEREJEIRAS, 1156</t>
  </si>
  <si>
    <t>02124-000</t>
  </si>
  <si>
    <t>VILA MARIA</t>
  </si>
  <si>
    <t>AV. MUTINGA, 2372</t>
  </si>
  <si>
    <t>05110-000</t>
  </si>
  <si>
    <t>R VOLUNTARIOS DA PATRIA, 1935/1937</t>
  </si>
  <si>
    <t>02011-400</t>
  </si>
  <si>
    <t>EST DOS BANDEIRANTES, 5151</t>
  </si>
  <si>
    <t>22780-080</t>
  </si>
  <si>
    <t>RUA OSCAR CIDRI, S/N</t>
  </si>
  <si>
    <t>21833-280</t>
  </si>
  <si>
    <t>SENADOR CAMARA</t>
  </si>
  <si>
    <t>R. NOVA JERUSALEM, 425</t>
  </si>
  <si>
    <t>03410-000</t>
  </si>
  <si>
    <t>EVENTO</t>
  </si>
  <si>
    <t>R JOAQUIM FLORIANO, 100</t>
  </si>
  <si>
    <t>04534-000</t>
  </si>
  <si>
    <t>AV. WASHINGTON SOARES, 999</t>
  </si>
  <si>
    <t>LUIS FACINI, 127</t>
  </si>
  <si>
    <t>GUARULHOS</t>
  </si>
  <si>
    <t>07110-000</t>
  </si>
  <si>
    <t>AV. DAS AMERICAS, 04001</t>
  </si>
  <si>
    <t>22631-004</t>
  </si>
  <si>
    <t>Q CLS 201 BLOCO A LJ 33</t>
  </si>
  <si>
    <t>70297-400</t>
  </si>
  <si>
    <t>AV. NOSSA SRA DE COPACABANA,766 LJ</t>
  </si>
  <si>
    <t>R GILDASIO AMADO - 55 LJ D</t>
  </si>
  <si>
    <t>22631-020</t>
  </si>
  <si>
    <t>R SIQUEIRA CAMPOS, 44/44 A 46</t>
  </si>
  <si>
    <t>22031-072</t>
  </si>
  <si>
    <t>EST BARRA DA TIJUCA, 1636 BLOCO A LJ A LOT 03</t>
  </si>
  <si>
    <t>22641-003</t>
  </si>
  <si>
    <t>Q SHIS QI 13 BLOCO J LJS 4,5 E 6, EDIFIC</t>
  </si>
  <si>
    <t>71635-178</t>
  </si>
  <si>
    <t>CLOCO J</t>
  </si>
  <si>
    <t>R SENADOR DANTAS, 118 - LJ D</t>
  </si>
  <si>
    <t>20031-205</t>
  </si>
  <si>
    <t>R TAVARES MACEDO, 95 - LJ 106, 107 E 108</t>
  </si>
  <si>
    <t>24220-215</t>
  </si>
  <si>
    <t>ICARAI</t>
  </si>
  <si>
    <t xml:space="preserve">RUA TIROL, 78 </t>
  </si>
  <si>
    <t>Q CLS, 302 BLOCO A LJ 33 E 37 SLJ 34</t>
  </si>
  <si>
    <t>70338-520</t>
  </si>
  <si>
    <t>SHCS</t>
  </si>
  <si>
    <t>Q CLN 305 BLOCO E, LJ 10/14/16/20 LJ 30/34/44/48</t>
  </si>
  <si>
    <t>70737-550</t>
  </si>
  <si>
    <t>R CONDE DE BONFIM, 152</t>
  </si>
  <si>
    <t>20520-053</t>
  </si>
  <si>
    <t>EST BENVINDO DE NOVAES - 1900 - LJ B</t>
  </si>
  <si>
    <t>22783-010</t>
  </si>
  <si>
    <t>Q CLS 209 BLOCO C, S/N LJ 03</t>
  </si>
  <si>
    <t>70272-530</t>
  </si>
  <si>
    <t>BLOCO C</t>
  </si>
  <si>
    <t>Q CLN 309 BLOCO E, LJ01 LJ02 LJ11 LJ12 SL103 SUBSL LJ16</t>
  </si>
  <si>
    <t>R SAO CLEMENTE, 91 - LJS A E B</t>
  </si>
  <si>
    <t>22260-001</t>
  </si>
  <si>
    <t>R CONDE DE BONFIM, 36</t>
  </si>
  <si>
    <t>EST DO GALEAO, 01375 LOT 1 PAL 42746</t>
  </si>
  <si>
    <t>JARDIM CARIOCA</t>
  </si>
  <si>
    <t>INDIANOPOLIA</t>
  </si>
  <si>
    <t>SCLS QUADRA 216, BLOCO D RUV</t>
  </si>
  <si>
    <t>70384-000</t>
  </si>
  <si>
    <t xml:space="preserve">AV. GEREMARIO DANTAS, 1057 </t>
  </si>
  <si>
    <t>22760-400</t>
  </si>
  <si>
    <t>PECHINCA</t>
  </si>
  <si>
    <t>R VISCONDE DE PIRAJA, 514 - LJ B</t>
  </si>
  <si>
    <t>22410-002</t>
  </si>
  <si>
    <t>EST DOS BANDEIRANTES, 7650 LT 2 PAL 48007</t>
  </si>
  <si>
    <t>22780-084</t>
  </si>
  <si>
    <t>AV. DAS AMERICAS,  14.755 - LOT 16 LTM 19672 QDR 116</t>
  </si>
  <si>
    <t xml:space="preserve">ESTRADA DO ROSARIO, S/ N QUADRA 38 LOTES 01 E 02 </t>
  </si>
  <si>
    <t>25215-365</t>
  </si>
  <si>
    <t>JD PRIMAVERA</t>
  </si>
  <si>
    <t>ST SHIS QI 11, SN LOTE 0 LJ 08 10 12 E 14</t>
  </si>
  <si>
    <t>71600-500</t>
  </si>
  <si>
    <t>EST PAU-FERRO, 668</t>
  </si>
  <si>
    <t>22743-052</t>
  </si>
  <si>
    <t>AV. DAS ARAUCARIAS LOTE, 1325 LJ 08 E 09 EDIF REAL QUA</t>
  </si>
  <si>
    <t>AGUAS CLARAS</t>
  </si>
  <si>
    <t>EST FRANCISCO DA CRUZ NUNES, 973 LJ 101 LJ 102</t>
  </si>
  <si>
    <t>24350-310</t>
  </si>
  <si>
    <t>PIRATININGA</t>
  </si>
  <si>
    <t>R VIUVA DANTAS, 60 - LJ F</t>
  </si>
  <si>
    <t>23052-090</t>
  </si>
  <si>
    <t>CAMPO GRANDE</t>
  </si>
  <si>
    <t>R ADOLFO BERGAMINI, 64</t>
  </si>
  <si>
    <t>20730-000</t>
  </si>
  <si>
    <t>ENGENHO DE DENTRO</t>
  </si>
  <si>
    <t>Q CLS 407 BLOCO D, S/N LJ 04</t>
  </si>
  <si>
    <t>EST CACHAMORRA, 489</t>
  </si>
  <si>
    <t>23040-151</t>
  </si>
  <si>
    <t>R DOUTOR PAULO CESAR, 262</t>
  </si>
  <si>
    <t>24240-001</t>
  </si>
  <si>
    <t>SANTA ROSA</t>
  </si>
  <si>
    <t>EST DOS BANDEIRANTES, 470, LJ</t>
  </si>
  <si>
    <t>22710-112</t>
  </si>
  <si>
    <t>TAQUARA</t>
  </si>
  <si>
    <t>R FRANCISCO REAL, 652</t>
  </si>
  <si>
    <t>21810-008</t>
  </si>
  <si>
    <t>PADRE MIGUEL</t>
  </si>
  <si>
    <t>AV. DAS AMERICAS,14400 LJ A E LJ B</t>
  </si>
  <si>
    <t>Q CLN 212 BLOCO D SN LJ 7 TERREO</t>
  </si>
  <si>
    <t>70864-040</t>
  </si>
  <si>
    <t>13 DE MAIO</t>
  </si>
  <si>
    <t>DAS AMERICAS</t>
  </si>
  <si>
    <t>04703-003</t>
  </si>
  <si>
    <t>VEREADOR JOSE DINIZ</t>
  </si>
  <si>
    <t>04604-007</t>
  </si>
  <si>
    <t>04556-400</t>
  </si>
  <si>
    <t>GENTIL DE MOURA</t>
  </si>
  <si>
    <t>ACOCE</t>
  </si>
  <si>
    <t>04075-022</t>
  </si>
  <si>
    <t>SERRA DE BRAGANCA</t>
  </si>
  <si>
    <t>SABARA</t>
  </si>
  <si>
    <t>01239-010</t>
  </si>
  <si>
    <t>PAULO FACCINI</t>
  </si>
  <si>
    <t>07111-000</t>
  </si>
  <si>
    <t>MACEDO</t>
  </si>
  <si>
    <t>JOVITA FEITOSA</t>
  </si>
  <si>
    <t>60455-410</t>
  </si>
  <si>
    <t>PARQUELANDIA</t>
  </si>
  <si>
    <t>PONTES VIEIRA</t>
  </si>
  <si>
    <t>60130-240</t>
  </si>
  <si>
    <t>SAO JOAO DO TAUAPE</t>
  </si>
  <si>
    <t>ANTONIO SALES</t>
  </si>
  <si>
    <t>60135-100</t>
  </si>
  <si>
    <t>JOAQUIM TAVORA</t>
  </si>
  <si>
    <t>DESEMBARGADOR PRAXEDES</t>
  </si>
  <si>
    <t>60416-172</t>
  </si>
  <si>
    <t>MONTESE</t>
  </si>
  <si>
    <t>INDUSTRIAL AMILCAR ARAUJO</t>
  </si>
  <si>
    <t>61760-000</t>
  </si>
  <si>
    <t>DEPUTADO SEBASTIAO BRASILINO DE FREITAS</t>
  </si>
  <si>
    <t>PARQUE IRACEMA</t>
  </si>
  <si>
    <t>CARAIBAS</t>
  </si>
  <si>
    <t>AER INTERNACIONAL DE BRASILIA JUSCELINO KUBITSCHEK</t>
  </si>
  <si>
    <t>QUADRA 3</t>
  </si>
  <si>
    <t>LOTEAMENTO LUNABEL 3A</t>
  </si>
  <si>
    <t>WASHINGTON SOARES</t>
  </si>
  <si>
    <t>CAMBEBA</t>
  </si>
  <si>
    <t>MERCURIO</t>
  </si>
  <si>
    <t>DE SANTA CRUZ</t>
  </si>
  <si>
    <t>ST SCS QUADRA 07 BLOCO A LOJA P244</t>
  </si>
  <si>
    <t>Q SIG QUADRA 8 LOTE</t>
  </si>
  <si>
    <t>ZONA INDUSTRIAL</t>
  </si>
  <si>
    <t>ST SCS QUADRA 08 BLOCO B 50 TERREO LOJAS 69, 70 E</t>
  </si>
  <si>
    <t>DR ALCEU DE CAMPOS RODRIGUES</t>
  </si>
  <si>
    <t>PEDROSO DE MORAES</t>
  </si>
  <si>
    <t>NICOLAS BOER</t>
  </si>
  <si>
    <t>PARQUE INDUSTRIAL TOMAS EDSON</t>
  </si>
  <si>
    <t>BRIGADEIRO LUIS ANTONIO</t>
  </si>
  <si>
    <t>DOM HELDER CAMARA</t>
  </si>
  <si>
    <t>20771-004</t>
  </si>
  <si>
    <t>CACHAMBI</t>
  </si>
  <si>
    <t>QUADRA 2 CONJUNTO E LOTE 25</t>
  </si>
  <si>
    <t>Q SHCN CL QD 210 BLOCO B</t>
  </si>
  <si>
    <t>DAS CASTANHEIRAS LOTES 1310 E</t>
  </si>
  <si>
    <t>BEZERRA DE MENEZES</t>
  </si>
  <si>
    <t>LUIS FACCINI</t>
  </si>
  <si>
    <t>OTTO BAUMGART</t>
  </si>
  <si>
    <t>DOUTOR SILAS MUNGUBA</t>
  </si>
  <si>
    <t>GENESIO DE LIMA BRITO</t>
  </si>
  <si>
    <t>GOIANIA</t>
  </si>
  <si>
    <t>GO</t>
  </si>
  <si>
    <t>JD BALNEARIO MEIA PONTE</t>
  </si>
  <si>
    <t>VEREADOR JOSE MONTEIRO</t>
  </si>
  <si>
    <t>SET NEGRAO DE LIMA</t>
  </si>
  <si>
    <t>GOIAS</t>
  </si>
  <si>
    <t>SET CENTRAL</t>
  </si>
  <si>
    <t>BANANEIRAS</t>
  </si>
  <si>
    <t>JOAO PESSOA</t>
  </si>
  <si>
    <t>PB</t>
  </si>
  <si>
    <t>MANAIRA</t>
  </si>
  <si>
    <t>JOAO VALERIO</t>
  </si>
  <si>
    <t>MANAUS</t>
  </si>
  <si>
    <t>AM</t>
  </si>
  <si>
    <t>NO</t>
  </si>
  <si>
    <t>NOSSA SENHORA DAS GRACAS</t>
  </si>
  <si>
    <t>WENCESLAU ESCOBAR</t>
  </si>
  <si>
    <t>PORTO ALEGRE</t>
  </si>
  <si>
    <t>RS</t>
  </si>
  <si>
    <t>TRISTEZA</t>
  </si>
  <si>
    <t>JOSE ANTONIO</t>
  </si>
  <si>
    <t>MS</t>
  </si>
  <si>
    <t>MARACAJU</t>
  </si>
  <si>
    <t>DONA OTILIA BARCELOS</t>
  </si>
  <si>
    <t>JARDIM JACY</t>
  </si>
  <si>
    <t>QUATORZE DE MARCO</t>
  </si>
  <si>
    <t>BELEM</t>
  </si>
  <si>
    <t>PA</t>
  </si>
  <si>
    <t>UMARIZAL</t>
  </si>
  <si>
    <t>DRA RUTH CARDOSO</t>
  </si>
  <si>
    <t>BR DE DUPRAT</t>
  </si>
  <si>
    <t>19 SUL</t>
  </si>
  <si>
    <t>13 NORTE</t>
  </si>
  <si>
    <t>Q 101 PRACA TIE LT 7</t>
  </si>
  <si>
    <t>PROFESSOR PEDRO VIRIATO PARIGOT DE SOUZA</t>
  </si>
  <si>
    <t>MOSSUNGUE</t>
  </si>
  <si>
    <t>RIACHUELO</t>
  </si>
  <si>
    <t>CANDIDO DE ABREU</t>
  </si>
  <si>
    <t>IZABEL A REDENTORA</t>
  </si>
  <si>
    <t>DOM LUIS FELIPE DE ORLEANS</t>
  </si>
  <si>
    <t>VILA MARIA BAIXA</t>
  </si>
  <si>
    <t>Avenida Braz Leme</t>
  </si>
  <si>
    <t>LAUZANE PAULISTA</t>
  </si>
  <si>
    <t>ENGENHEIRO CAMILO OLIVETTI</t>
  </si>
  <si>
    <t>VILA ENDRES</t>
  </si>
  <si>
    <t>BARTHOLOMEU DE CARLOS</t>
  </si>
  <si>
    <t>JARDIM FLOR DA MONTANHA</t>
  </si>
  <si>
    <t>DESENBARGADOR LAURO NOGUEIRA</t>
  </si>
  <si>
    <t>SAO BENTO</t>
  </si>
  <si>
    <t>VEREADOR TOALDO TULIO</t>
  </si>
  <si>
    <t>SAO BRAZ</t>
  </si>
  <si>
    <t>NOSSA SENHORA DA LUZ</t>
  </si>
  <si>
    <t>DOUTOR VICTOR DO AMARAL</t>
  </si>
  <si>
    <t>ARAUCARIA</t>
  </si>
  <si>
    <t>WINSTON CHURCHILL</t>
  </si>
  <si>
    <t>CAPAO RASO</t>
  </si>
  <si>
    <t>PADRE ROMUALDO</t>
  </si>
  <si>
    <t>CAUCAIA</t>
  </si>
  <si>
    <t>ST SHCN CL QUADRA 306 BLOCO E</t>
  </si>
  <si>
    <t>ST SHCS CL QUADRA 407 BLOCO B</t>
  </si>
  <si>
    <t>Q CLSW 303 BLOCO A</t>
  </si>
  <si>
    <t>Q SHCGN CR QUARA 716 BLOCO D LOJA 30</t>
  </si>
  <si>
    <t>DO TINDIBA</t>
  </si>
  <si>
    <t>MANDIRITUBA</t>
  </si>
  <si>
    <t>MAURICIO DE ABREU</t>
  </si>
  <si>
    <t>DUQUE DE CAXIAS</t>
  </si>
  <si>
    <t>PARQUE BEIRA MAR</t>
  </si>
  <si>
    <t>SCIA QUADRA 14 CONJUNTO 8</t>
  </si>
  <si>
    <t>PORTUGAL</t>
  </si>
  <si>
    <t>SANTO ANDRE</t>
  </si>
  <si>
    <t>SETE DE SETEMBRO</t>
  </si>
  <si>
    <t>DO MONTEIRO</t>
  </si>
  <si>
    <t>QUADRA 4 CONJUNTO F LOTE 41 LOJAS A B C D</t>
  </si>
  <si>
    <t>SETOR RESIDENCIAL LESTE (PLANALTINA)</t>
  </si>
  <si>
    <t>CLS 208 BLOCO B</t>
  </si>
  <si>
    <t>BR CENTO E DEZESSEIS</t>
  </si>
  <si>
    <t>RODRIGUES CALDAS</t>
  </si>
  <si>
    <t>CIRNE MAIA</t>
  </si>
  <si>
    <t>74160-010</t>
  </si>
  <si>
    <t>SETOR MARISTA</t>
  </si>
  <si>
    <t>DEPUTADO JAMEL CECILIO</t>
  </si>
  <si>
    <t>74810-100</t>
  </si>
  <si>
    <t>JARDIM GOIAS</t>
  </si>
  <si>
    <t>ANHANGUERA</t>
  </si>
  <si>
    <t>74610-010</t>
  </si>
  <si>
    <t>S LESTE UNIVERSITARI</t>
  </si>
  <si>
    <t>ALPHAVILLE FLAMBOYANT</t>
  </si>
  <si>
    <t>74884-800</t>
  </si>
  <si>
    <t>FAZ GAMELEIRA</t>
  </si>
  <si>
    <t>RIO VERDE</t>
  </si>
  <si>
    <t>SETOR FAICALVILLE</t>
  </si>
  <si>
    <t>SETOR SUL</t>
  </si>
  <si>
    <t>JOSE HERMANO</t>
  </si>
  <si>
    <t>SETOR CAMPINAS</t>
  </si>
  <si>
    <t>T63</t>
  </si>
  <si>
    <t>SET BELA VISTA</t>
  </si>
  <si>
    <t>SETOR LESTE UNIVERSITARIO</t>
  </si>
  <si>
    <t>T 10</t>
  </si>
  <si>
    <t>SETOR BUENO</t>
  </si>
  <si>
    <t>T 1</t>
  </si>
  <si>
    <t>JARDIM GUANABARA II</t>
  </si>
  <si>
    <t>ARAGUAIA</t>
  </si>
  <si>
    <t>SETOR CENTRAL</t>
  </si>
  <si>
    <t>ENGENHEIRO FUAD RASSI</t>
  </si>
  <si>
    <t>SETOR CRIMEIA LESTE</t>
  </si>
  <si>
    <t>ENGENHEIRO EURICO VIANA</t>
  </si>
  <si>
    <t>SETOR PEDRO LUDOVICO</t>
  </si>
  <si>
    <t>SANTA LUZIA</t>
  </si>
  <si>
    <t>SET CAMPINAS</t>
  </si>
  <si>
    <t>DA IMPRENSA</t>
  </si>
  <si>
    <t>RODOVIARIO</t>
  </si>
  <si>
    <t>VANCOUVER</t>
  </si>
  <si>
    <t>RESIDENCIAL CANADA</t>
  </si>
  <si>
    <t>DAS ORQUIDEAS</t>
  </si>
  <si>
    <t>LOT CELINA PARK</t>
  </si>
  <si>
    <t>FONTE NOVA</t>
  </si>
  <si>
    <t>JD FONTE NOVA</t>
  </si>
  <si>
    <t>C 244</t>
  </si>
  <si>
    <t>NAPOLI</t>
  </si>
  <si>
    <t>RES ELDORADO</t>
  </si>
  <si>
    <t>TRANSBRASILIANA</t>
  </si>
  <si>
    <t>SAO LUIZ</t>
  </si>
  <si>
    <t>BRO ALTO DA GLORIA</t>
  </si>
  <si>
    <t>DOS ALPES</t>
  </si>
  <si>
    <t>JARDIM EUROPA</t>
  </si>
  <si>
    <t>T 49</t>
  </si>
  <si>
    <t>C 255</t>
  </si>
  <si>
    <t>NOVA SUICA</t>
  </si>
  <si>
    <t>T 4</t>
  </si>
  <si>
    <t>SERRINHA</t>
  </si>
  <si>
    <t>SET URIAS MAGALHAES</t>
  </si>
  <si>
    <t>ANAPOLIS</t>
  </si>
  <si>
    <t>JARDIM MARIA HELENA</t>
  </si>
  <si>
    <t>RICARDO PARANHOS</t>
  </si>
  <si>
    <t>SET MARISTA</t>
  </si>
  <si>
    <t>C104</t>
  </si>
  <si>
    <t>DOS INCONFIDENTES</t>
  </si>
  <si>
    <t>GOIA IV</t>
  </si>
  <si>
    <t>QUINTA AVENIDA</t>
  </si>
  <si>
    <t>SET LESTE VILA NOVA</t>
  </si>
  <si>
    <t>SET OESTE</t>
  </si>
  <si>
    <t>DAS INDUSTRIAS</t>
  </si>
  <si>
    <t>SANTA GENOVEVA</t>
  </si>
  <si>
    <t>E</t>
  </si>
  <si>
    <t>JD GOIAS</t>
  </si>
  <si>
    <t>T4</t>
  </si>
  <si>
    <t>SET BUENO</t>
  </si>
  <si>
    <t>SIMON BOLIVAR</t>
  </si>
  <si>
    <t>JD NOVO MUNDO</t>
  </si>
  <si>
    <t>CONTORNO</t>
  </si>
  <si>
    <t>JARDIM BELA VISTA</t>
  </si>
  <si>
    <t>BRO CAPUAVA</t>
  </si>
  <si>
    <t>PERIMETRAL NORTE</t>
  </si>
  <si>
    <t>FAZ CRIMEIA CAVEIRAS</t>
  </si>
  <si>
    <t>T10</t>
  </si>
  <si>
    <t>MINISTRO GUIMARAES NATAL</t>
  </si>
  <si>
    <t>SET CRIMEIA OESTE</t>
  </si>
  <si>
    <t>NERO MACEDO</t>
  </si>
  <si>
    <t>SET CIDADE JARDIM</t>
  </si>
  <si>
    <t>T9</t>
  </si>
  <si>
    <t>JD PLANALTO</t>
  </si>
  <si>
    <t>C179</t>
  </si>
  <si>
    <t>BRO NOVA SUICA</t>
  </si>
  <si>
    <t>PADRE ORLANDO MORAIS</t>
  </si>
  <si>
    <t>VI ROSA</t>
  </si>
  <si>
    <t>T 48</t>
  </si>
  <si>
    <t>LAGUNA</t>
  </si>
  <si>
    <t>PRQ AMAZONIA</t>
  </si>
  <si>
    <t>BRO SERRINHA</t>
  </si>
  <si>
    <t>MARECHAL RONDON</t>
  </si>
  <si>
    <t>SETOR MARECHAL RONDON</t>
  </si>
  <si>
    <t>25B</t>
  </si>
  <si>
    <t>T11</t>
  </si>
  <si>
    <t>DOUTOR AUGUSTO JUNGMANN</t>
  </si>
  <si>
    <t>SETOR CRIMEIA OESTE</t>
  </si>
  <si>
    <t>BOULEVARD CONDE DOS ARCOS</t>
  </si>
  <si>
    <t>LOT GOIANIA 2</t>
  </si>
  <si>
    <t>DO PARQUE</t>
  </si>
  <si>
    <t>JARDIM ATLANTICO</t>
  </si>
  <si>
    <t>JUVENAL ALVIM</t>
  </si>
  <si>
    <t>ATIBAIA</t>
  </si>
  <si>
    <t>JOSE THOMAZ DA COSTA</t>
  </si>
  <si>
    <t>VOTORANTIM</t>
  </si>
  <si>
    <t>VOSSOROCA</t>
  </si>
  <si>
    <t>DOUTOR HERMAS BRAGA</t>
  </si>
  <si>
    <t>CAMPINAS</t>
  </si>
  <si>
    <t>NOVA CAMPINAS</t>
  </si>
  <si>
    <t>DAS PITANGUEIRAS</t>
  </si>
  <si>
    <t>JUNDIAI</t>
  </si>
  <si>
    <t>JARDIM PITANGUEIRAS I</t>
  </si>
  <si>
    <t>TIRADENTES</t>
  </si>
  <si>
    <t>SALTO</t>
  </si>
  <si>
    <t>VILA TEIXEIRA</t>
  </si>
  <si>
    <t>ONZE DE JUNHO</t>
  </si>
  <si>
    <t>SANTA CRUZ</t>
  </si>
  <si>
    <t>CAMBUI</t>
  </si>
  <si>
    <t>ALECRINS</t>
  </si>
  <si>
    <t>PROF LUCAS NOGUEIRA GARCEZ</t>
  </si>
  <si>
    <t>VILA HELENA</t>
  </si>
  <si>
    <t>WASHINGTON LUIS</t>
  </si>
  <si>
    <t>PIAUI</t>
  </si>
  <si>
    <t>SUMARE</t>
  </si>
  <si>
    <t>JARDIM NOVA VENEZA (NOVA VENEZA)</t>
  </si>
  <si>
    <t>PROFESSOR LUIZ DE CAMPOS</t>
  </si>
  <si>
    <t>SOROCABA</t>
  </si>
  <si>
    <t>VILA HORTENCIA</t>
  </si>
  <si>
    <t>ANTONIO PEREZ HERNANDEZ</t>
  </si>
  <si>
    <t>PARQUE CAMPOLIM</t>
  </si>
  <si>
    <t>MARIA MONTEIRO</t>
  </si>
  <si>
    <t>NOVE DE JULHO</t>
  </si>
  <si>
    <t>PADRE MANOEL GUINAUT</t>
  </si>
  <si>
    <t>VALINHOS</t>
  </si>
  <si>
    <t>RUI BARBOSA</t>
  </si>
  <si>
    <t>ITATIBA</t>
  </si>
  <si>
    <t>PIO XII</t>
  </si>
  <si>
    <t>PAULINIA</t>
  </si>
  <si>
    <t>NOVA PAULINIA</t>
  </si>
  <si>
    <t>BRASIL</t>
  </si>
  <si>
    <t>VILA ITAPURA</t>
  </si>
  <si>
    <t>SAO PEDRO</t>
  </si>
  <si>
    <t>BARAO DE TATUI</t>
  </si>
  <si>
    <t>JARDIM VERGUEIRO</t>
  </si>
  <si>
    <t>DOUTOR ALBERTO SARMENTO</t>
  </si>
  <si>
    <t>BONFIM</t>
  </si>
  <si>
    <t>SANTO ANTONIO</t>
  </si>
  <si>
    <t>VINHEDO</t>
  </si>
  <si>
    <t>AMERICANA</t>
  </si>
  <si>
    <t>DO ROSARIO</t>
  </si>
  <si>
    <t>ALBINO JOSE BARBOSA DE OLIVEIRA</t>
  </si>
  <si>
    <t>BARAO GERALDO</t>
  </si>
  <si>
    <t>MAESTRO MOREIRA LOPES</t>
  </si>
  <si>
    <t>JOAO COVOLAN FILHO</t>
  </si>
  <si>
    <t>SANTA BARBARA D OESTE</t>
  </si>
  <si>
    <t>DISTRITO INDUSTRIAL I</t>
  </si>
  <si>
    <t>JOAO ANTUNES DOS SANTOS</t>
  </si>
  <si>
    <t>JARDIM PINHEIROS</t>
  </si>
  <si>
    <t>BARTOLOMEU PERANOVICH</t>
  </si>
  <si>
    <t>SHOPPING CENTER PARQUE D.PEDRO</t>
  </si>
  <si>
    <t>JARDIM SANTA GENEBRA</t>
  </si>
  <si>
    <t>ALPHEU GRIMELLO</t>
  </si>
  <si>
    <t>BRAGANCA PAULISTA</t>
  </si>
  <si>
    <t>TABOAO</t>
  </si>
  <si>
    <t>NOSSA SENHORA DE FATIMA</t>
  </si>
  <si>
    <t>RESIDENCIAL LINDARMA</t>
  </si>
  <si>
    <t>IGUATEMI</t>
  </si>
  <si>
    <t>VILA BRANDINA</t>
  </si>
  <si>
    <t>EDEMIR ANTONIO DIGIAMPIETRI</t>
  </si>
  <si>
    <t>CONJUNTO HABITACIONAL JULIO DE MESQUITA FILHO</t>
  </si>
  <si>
    <t>DOUTOR AMERICO FIGUEIREDO</t>
  </si>
  <si>
    <t>JARDIM SIMUS</t>
  </si>
  <si>
    <t>PRUDENTE DE MORAES</t>
  </si>
  <si>
    <t>ITU</t>
  </si>
  <si>
    <t>VILA NOVA</t>
  </si>
  <si>
    <t>NELSON GLADSTONE DE CARVALHO GLORIA</t>
  </si>
  <si>
    <t>CENTRAL PARQUE SOROCABA</t>
  </si>
  <si>
    <t>WASHINGTON LUIZ</t>
  </si>
  <si>
    <t>PASCOAL NOTTE</t>
  </si>
  <si>
    <t>PARQUE TAQUARAL</t>
  </si>
  <si>
    <t>EUCLIDES PEREIRA DE ANDRADE</t>
  </si>
  <si>
    <t>VILA JOAQUIM INACIO</t>
  </si>
  <si>
    <t>LUIZ JOSE SERENO</t>
  </si>
  <si>
    <t>JARDIM ERMIDA II</t>
  </si>
  <si>
    <t>ITALIA</t>
  </si>
  <si>
    <t>ITUPEVA</t>
  </si>
  <si>
    <t>JARDIM SAO VICENTE</t>
  </si>
  <si>
    <t>DE CILLO</t>
  </si>
  <si>
    <t>PARQUE NOVO MUNDO</t>
  </si>
  <si>
    <t>LUIZ COSTA COIMBRA</t>
  </si>
  <si>
    <t>VILA ANGELICA</t>
  </si>
  <si>
    <t>EMYGDIA CAMPOLIM</t>
  </si>
  <si>
    <t>DOUTOR MORAES SALLES</t>
  </si>
  <si>
    <t>ANTONIO LAPA</t>
  </si>
  <si>
    <t>JATOBA</t>
  </si>
  <si>
    <t>PEDRO AUGUSTO RANGEL</t>
  </si>
  <si>
    <t>GENERAL OSORIO</t>
  </si>
  <si>
    <t>PROFESSOR LUCAS NOGUEIRA GARCEZ</t>
  </si>
  <si>
    <t>LUIZ ONOFRE DE AMORIM</t>
  </si>
  <si>
    <t>PARQUE FERNAO DIAS</t>
  </si>
  <si>
    <t>MEXILHAO</t>
  </si>
  <si>
    <t>CONDOMINIO RESIDENCIAL SHAMBALLA III</t>
  </si>
  <si>
    <t>MAJOR JOAO LICIO</t>
  </si>
  <si>
    <t>VILA AMELIA</t>
  </si>
  <si>
    <t>BADEN POWELL</t>
  </si>
  <si>
    <t>JARDIM NOVA EUROPA</t>
  </si>
  <si>
    <t>MIGUEL PHILOMENO</t>
  </si>
  <si>
    <t>PORTAL DE SANTA FE</t>
  </si>
  <si>
    <t>PREFEITO CASSIANO GONCALVES PASSOS</t>
  </si>
  <si>
    <t>FRANCISCO MORATO</t>
  </si>
  <si>
    <t>DONA JOANA DE GUSMAO</t>
  </si>
  <si>
    <t>DOUTOR AFONSO VERGUEIRO</t>
  </si>
  <si>
    <t>VILA AUGUSTA</t>
  </si>
  <si>
    <t>OLAVO BILAC</t>
  </si>
  <si>
    <t>FRANCISCO NOBRE</t>
  </si>
  <si>
    <t>MEDEIROS</t>
  </si>
  <si>
    <t>ANHANGABAU</t>
  </si>
  <si>
    <t>BENEDICTO CASTILHO DE ANDRADE</t>
  </si>
  <si>
    <t>PARQUE RESIDENCIAL ELOY CHAVES</t>
  </si>
  <si>
    <t>JORGE DE FIGUEIREDO CORREA</t>
  </si>
  <si>
    <t>CHACARA PRIMAVERA</t>
  </si>
  <si>
    <t>FERREIRA PENTEADO</t>
  </si>
  <si>
    <t>SANTO ANTONIO CLARET</t>
  </si>
  <si>
    <t>JARDIM CHAPADAO</t>
  </si>
  <si>
    <t>ROTA DOS IMIGRANTES</t>
  </si>
  <si>
    <t>HOLAMBRA</t>
  </si>
  <si>
    <t>OLIVIO FRANCESCHINI</t>
  </si>
  <si>
    <t>HORTOLANDIA</t>
  </si>
  <si>
    <t>PARQUE SAO MIGUEL</t>
  </si>
  <si>
    <t>TAMOIO</t>
  </si>
  <si>
    <t>VILA SANTA CATARINA</t>
  </si>
  <si>
    <t>ARMANDO SALLES DE OLIVEIRA</t>
  </si>
  <si>
    <t>JARDIM IPIRANGA</t>
  </si>
  <si>
    <t>VILA NOSSA SENHORA DE FATIMA</t>
  </si>
  <si>
    <t>GUILHERME CAMPOS</t>
  </si>
  <si>
    <t>CORONEL QUIRINO</t>
  </si>
  <si>
    <t>JACY TEIXEIRA CAMARGO</t>
  </si>
  <si>
    <t>JARDIM DO LAGO</t>
  </si>
  <si>
    <t>BRIGADEIRO JOSE VICENTE FARIA LIMA</t>
  </si>
  <si>
    <t>ATIBAIA JARDIM</t>
  </si>
  <si>
    <t>GISELE CONSTANTINO</t>
  </si>
  <si>
    <t>PARQUE BELA VISTA</t>
  </si>
  <si>
    <t>ALFRIED KRUPP</t>
  </si>
  <si>
    <t>CAMPO LIMPO PAULISTA</t>
  </si>
  <si>
    <t>QUATORZE DE DEZEMBRO</t>
  </si>
  <si>
    <t>INDEPENDENCIA</t>
  </si>
  <si>
    <t>NOVA ODESSA</t>
  </si>
  <si>
    <t>PRESIDENTE GETULIO VARGAS</t>
  </si>
  <si>
    <t>CONSELHEIRO FRANCISCO DE PAULA MAYRINK</t>
  </si>
  <si>
    <t>MAIRINQUE</t>
  </si>
  <si>
    <t>VILA SOROCABANA</t>
  </si>
  <si>
    <t>MARECHAL JUAREZ TAVORA</t>
  </si>
  <si>
    <t>JARDIM CAMPOS ELISEOS</t>
  </si>
  <si>
    <t>EDUARDO TOMANIK</t>
  </si>
  <si>
    <t>CHACARA URBANA</t>
  </si>
  <si>
    <t>ABILIO FIGUEIREDO</t>
  </si>
  <si>
    <t>TOMAS GONCALVES GOMIDE</t>
  </si>
  <si>
    <t>PARQUE INDUSTRIAL</t>
  </si>
  <si>
    <t>JOHN BOYD DUNLOP</t>
  </si>
  <si>
    <t>VILA SAO BENTO</t>
  </si>
  <si>
    <t>CAMILLE PISSARRO</t>
  </si>
  <si>
    <t>RESIDENCIAL COLINAS DE ITUPEVA</t>
  </si>
  <si>
    <t>JOAQUIM TARSO GALLACE ZAMBOM</t>
  </si>
  <si>
    <t>PARQUE SANTA BARBARA</t>
  </si>
  <si>
    <t>JOSE DE SOUSA CAMPOS</t>
  </si>
  <si>
    <t>JOSE PAULINO</t>
  </si>
  <si>
    <t>CIDADE SATELITE</t>
  </si>
  <si>
    <t>PASTEUR</t>
  </si>
  <si>
    <t>PRQ ANHANGUERA II</t>
  </si>
  <si>
    <t>RIO NEGRO</t>
  </si>
  <si>
    <t>BARUERI</t>
  </si>
  <si>
    <t>ALPHAVILLE CENTRO IND E EMP</t>
  </si>
  <si>
    <t>AUGUSTO STRESSER</t>
  </si>
  <si>
    <t>BANDEIRA 1</t>
  </si>
  <si>
    <t>BANDEIRA 34</t>
  </si>
  <si>
    <t>BANDEIRA 3</t>
  </si>
  <si>
    <t>BANDEIRA 4</t>
  </si>
  <si>
    <t>BANDEIRA 5</t>
  </si>
  <si>
    <t>BANDEIRA 6</t>
  </si>
  <si>
    <t>BANDEIRA 7</t>
  </si>
  <si>
    <t>BANDEIRA 8</t>
  </si>
  <si>
    <t>BANDEIRA 9</t>
  </si>
  <si>
    <t>BANDEIRA 10</t>
  </si>
  <si>
    <t>BANDEIRA 11</t>
  </si>
  <si>
    <t>BANDEIRA 12</t>
  </si>
  <si>
    <t>BANDEIRA 13</t>
  </si>
  <si>
    <t>BANDEIRA 14</t>
  </si>
  <si>
    <t>BANDEIRA 15</t>
  </si>
  <si>
    <t>BANDEIRA 16</t>
  </si>
  <si>
    <t>BANDEIRA 17</t>
  </si>
  <si>
    <t>BANDEIRA 18</t>
  </si>
  <si>
    <t>BANDEIRA 19</t>
  </si>
  <si>
    <t>BANDEIRA 20</t>
  </si>
  <si>
    <t>BANDEIRA 21</t>
  </si>
  <si>
    <t>BANDEIRA 22</t>
  </si>
  <si>
    <t>BANDEIRA 23</t>
  </si>
  <si>
    <t>BANDEIRA 24</t>
  </si>
  <si>
    <t>BANDEIRA 25</t>
  </si>
  <si>
    <t>BANDEIRA 26</t>
  </si>
  <si>
    <t>BANDEIRA 27</t>
  </si>
  <si>
    <t>BANDEIRA 28</t>
  </si>
  <si>
    <t>BANDEIRA 39</t>
  </si>
  <si>
    <t>BANDEIRA 30</t>
  </si>
  <si>
    <t>BANDEIRA 31</t>
  </si>
  <si>
    <t>BANDEIRA 32</t>
  </si>
  <si>
    <t>BANDEIRA 33</t>
  </si>
  <si>
    <t>BANDEIRA 36</t>
  </si>
  <si>
    <t>BANDEIRA 37</t>
  </si>
  <si>
    <t>BANDEIRA 40</t>
  </si>
  <si>
    <t>BANDEIRA 41</t>
  </si>
  <si>
    <t>REDE 1</t>
  </si>
  <si>
    <t>REDE 34</t>
  </si>
  <si>
    <t>REDE 3</t>
  </si>
  <si>
    <t>REDE 4</t>
  </si>
  <si>
    <t>REDE 5</t>
  </si>
  <si>
    <t>REDE 6</t>
  </si>
  <si>
    <t>REDE 7</t>
  </si>
  <si>
    <t>REDE 8</t>
  </si>
  <si>
    <t>REDE 9</t>
  </si>
  <si>
    <t>REDE 10</t>
  </si>
  <si>
    <t>REDE 11</t>
  </si>
  <si>
    <t>REDE 12</t>
  </si>
  <si>
    <t>REDE 13</t>
  </si>
  <si>
    <t>REDE 14</t>
  </si>
  <si>
    <t>REDE 15</t>
  </si>
  <si>
    <t>REDE 16</t>
  </si>
  <si>
    <t>REDE 17</t>
  </si>
  <si>
    <t>REDE 18</t>
  </si>
  <si>
    <t>REDE 19</t>
  </si>
  <si>
    <t>REDE 20</t>
  </si>
  <si>
    <t>REDE 21</t>
  </si>
  <si>
    <t>REDE 22</t>
  </si>
  <si>
    <t>REDE 23</t>
  </si>
  <si>
    <t>REDE 24</t>
  </si>
  <si>
    <t>REDE 25</t>
  </si>
  <si>
    <t>REDE 26</t>
  </si>
  <si>
    <t>REDE 27</t>
  </si>
  <si>
    <t>REDE 28</t>
  </si>
  <si>
    <t>REDE 39</t>
  </si>
  <si>
    <t>REDE 30</t>
  </si>
  <si>
    <t>REDE 31</t>
  </si>
  <si>
    <t>REDE 32</t>
  </si>
  <si>
    <t>REDE 33</t>
  </si>
  <si>
    <t>REDE 36</t>
  </si>
  <si>
    <t>REDE 37</t>
  </si>
  <si>
    <t>REDE 40</t>
  </si>
  <si>
    <t>REDE 41</t>
  </si>
  <si>
    <t>VAREJO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</si>
</sst>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43E3-CC69-41D0-B106-DFC5805F8450}">
  <dimension ref="A1:Y748"/>
  <sheetViews>
    <sheetView tabSelected="1" workbookViewId="0">
      <selection activeCell="Y8" sqref="Y8"/>
    </sheetView>
  </sheetViews>
  <sheetFormatPr defaultRowHeight="14.4" x14ac:dyDescent="0.3"/>
  <cols>
    <col min="3" max="3" width="12" bestFit="1" customWidth="1"/>
    <col min="8" max="8" width="85.6640625" bestFit="1" customWidth="1"/>
    <col min="19" max="19" width="13.5546875" bestFit="1" customWidth="1"/>
    <col min="20" max="20" width="10.88671875" bestFit="1" customWidth="1"/>
    <col min="21" max="22" width="21.77734375" bestFit="1" customWidth="1"/>
    <col min="23" max="23" width="45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>
        <v>1</v>
      </c>
      <c r="C2">
        <v>45937322000108</v>
      </c>
      <c r="D2">
        <v>1</v>
      </c>
      <c r="E2" t="s">
        <v>1572</v>
      </c>
      <c r="F2">
        <v>1</v>
      </c>
      <c r="G2" t="s">
        <v>1609</v>
      </c>
      <c r="H2" t="str">
        <f>G2 &amp; " - "&amp; E2 &amp;" - LOJA " &amp;B2</f>
        <v>REDE 1 - BANDEIRA 1 - LOJA 1</v>
      </c>
      <c r="I2">
        <v>1</v>
      </c>
      <c r="J2" t="s">
        <v>26</v>
      </c>
      <c r="K2">
        <v>1</v>
      </c>
      <c r="L2" t="s">
        <v>27</v>
      </c>
      <c r="M2">
        <v>1</v>
      </c>
      <c r="N2" t="s">
        <v>28</v>
      </c>
      <c r="O2">
        <v>1</v>
      </c>
      <c r="P2" t="s">
        <v>29</v>
      </c>
      <c r="Q2" t="s">
        <v>30</v>
      </c>
      <c r="R2">
        <v>1</v>
      </c>
      <c r="S2" t="s">
        <v>31</v>
      </c>
      <c r="T2" t="s">
        <v>32</v>
      </c>
      <c r="U2" s="1">
        <v>-254462529</v>
      </c>
      <c r="V2" s="1">
        <v>-492854602</v>
      </c>
      <c r="W2" t="s">
        <v>33</v>
      </c>
      <c r="X2">
        <v>1</v>
      </c>
      <c r="Y2" t="s">
        <v>34</v>
      </c>
    </row>
    <row r="3" spans="1:25" x14ac:dyDescent="0.3">
      <c r="A3">
        <v>2</v>
      </c>
      <c r="B3">
        <v>2</v>
      </c>
      <c r="C3">
        <v>43717565000105</v>
      </c>
      <c r="D3">
        <v>1</v>
      </c>
      <c r="E3" t="s">
        <v>1572</v>
      </c>
      <c r="F3">
        <v>1</v>
      </c>
      <c r="G3" t="s">
        <v>1609</v>
      </c>
      <c r="H3" t="str">
        <f t="shared" ref="H3:H66" si="0">G3 &amp; " - "&amp; E3 &amp;" - LOJA " &amp;B3</f>
        <v>REDE 1 - BANDEIRA 1 - LOJA 2</v>
      </c>
      <c r="I3">
        <v>1</v>
      </c>
      <c r="J3" t="s">
        <v>26</v>
      </c>
      <c r="K3">
        <v>1</v>
      </c>
      <c r="L3" t="s">
        <v>35</v>
      </c>
      <c r="M3">
        <v>2</v>
      </c>
      <c r="N3" t="s">
        <v>36</v>
      </c>
      <c r="O3">
        <v>2</v>
      </c>
      <c r="P3" t="s">
        <v>37</v>
      </c>
      <c r="Q3" t="s">
        <v>38</v>
      </c>
      <c r="R3">
        <v>2</v>
      </c>
      <c r="S3" t="s">
        <v>39</v>
      </c>
      <c r="T3" t="s">
        <v>40</v>
      </c>
      <c r="U3" s="1">
        <v>-236236987</v>
      </c>
      <c r="V3" s="1">
        <v>-467033679</v>
      </c>
      <c r="W3" t="s">
        <v>41</v>
      </c>
      <c r="X3">
        <v>1</v>
      </c>
      <c r="Y3" t="s">
        <v>34</v>
      </c>
    </row>
    <row r="4" spans="1:25" x14ac:dyDescent="0.3">
      <c r="A4">
        <v>3</v>
      </c>
      <c r="B4">
        <v>3</v>
      </c>
      <c r="C4">
        <v>35297788000124</v>
      </c>
      <c r="D4">
        <v>34</v>
      </c>
      <c r="E4" t="s">
        <v>1573</v>
      </c>
      <c r="F4">
        <v>34</v>
      </c>
      <c r="G4" t="s">
        <v>1610</v>
      </c>
      <c r="H4" t="str">
        <f t="shared" si="0"/>
        <v>REDE 34 - BANDEIRA 34 - LOJA 3</v>
      </c>
      <c r="I4">
        <v>1</v>
      </c>
      <c r="J4" t="s">
        <v>26</v>
      </c>
      <c r="K4">
        <v>2</v>
      </c>
      <c r="L4" t="s">
        <v>42</v>
      </c>
      <c r="M4">
        <v>3</v>
      </c>
      <c r="N4" t="s">
        <v>43</v>
      </c>
      <c r="O4">
        <v>3</v>
      </c>
      <c r="P4" t="s">
        <v>44</v>
      </c>
      <c r="Q4" t="s">
        <v>43</v>
      </c>
      <c r="R4">
        <v>2</v>
      </c>
      <c r="S4" t="s">
        <v>39</v>
      </c>
      <c r="T4" t="s">
        <v>25</v>
      </c>
      <c r="U4" t="s">
        <v>25</v>
      </c>
      <c r="V4" t="s">
        <v>25</v>
      </c>
      <c r="W4" t="s">
        <v>45</v>
      </c>
      <c r="X4">
        <v>0</v>
      </c>
      <c r="Y4" t="s">
        <v>46</v>
      </c>
    </row>
    <row r="5" spans="1:25" x14ac:dyDescent="0.3">
      <c r="A5">
        <v>4</v>
      </c>
      <c r="B5">
        <v>4</v>
      </c>
      <c r="C5">
        <v>46225208000100</v>
      </c>
      <c r="D5">
        <v>3</v>
      </c>
      <c r="E5" t="s">
        <v>1574</v>
      </c>
      <c r="F5">
        <v>3</v>
      </c>
      <c r="G5" t="s">
        <v>1611</v>
      </c>
      <c r="H5" t="str">
        <f t="shared" si="0"/>
        <v>REDE 3 - BANDEIRA 3 - LOJA 4</v>
      </c>
      <c r="I5">
        <v>1</v>
      </c>
      <c r="J5" t="s">
        <v>26</v>
      </c>
      <c r="K5">
        <v>1</v>
      </c>
      <c r="L5" t="s">
        <v>47</v>
      </c>
      <c r="M5">
        <v>1</v>
      </c>
      <c r="N5" t="s">
        <v>28</v>
      </c>
      <c r="O5">
        <v>1</v>
      </c>
      <c r="P5" t="s">
        <v>29</v>
      </c>
      <c r="Q5" t="s">
        <v>30</v>
      </c>
      <c r="R5">
        <v>1</v>
      </c>
      <c r="S5" t="s">
        <v>31</v>
      </c>
      <c r="T5" t="s">
        <v>48</v>
      </c>
      <c r="U5" s="1">
        <v>-254555203</v>
      </c>
      <c r="V5" s="1">
        <v>-492886880999999</v>
      </c>
      <c r="W5" t="s">
        <v>49</v>
      </c>
      <c r="X5">
        <v>1</v>
      </c>
      <c r="Y5" t="s">
        <v>34</v>
      </c>
    </row>
    <row r="6" spans="1:25" x14ac:dyDescent="0.3">
      <c r="A6">
        <v>5</v>
      </c>
      <c r="B6">
        <v>5</v>
      </c>
      <c r="C6">
        <v>46926733000152</v>
      </c>
      <c r="D6">
        <v>3</v>
      </c>
      <c r="E6" t="s">
        <v>1574</v>
      </c>
      <c r="F6">
        <v>3</v>
      </c>
      <c r="G6" t="s">
        <v>1611</v>
      </c>
      <c r="H6" t="str">
        <f t="shared" si="0"/>
        <v>REDE 3 - BANDEIRA 3 - LOJA 5</v>
      </c>
      <c r="I6">
        <v>1</v>
      </c>
      <c r="J6" t="s">
        <v>26</v>
      </c>
      <c r="K6">
        <v>1</v>
      </c>
      <c r="L6" t="s">
        <v>50</v>
      </c>
      <c r="M6">
        <v>1</v>
      </c>
      <c r="N6" t="s">
        <v>28</v>
      </c>
      <c r="O6">
        <v>1</v>
      </c>
      <c r="P6" t="s">
        <v>29</v>
      </c>
      <c r="Q6" t="s">
        <v>30</v>
      </c>
      <c r="R6">
        <v>1</v>
      </c>
      <c r="S6" t="s">
        <v>31</v>
      </c>
      <c r="T6" t="s">
        <v>51</v>
      </c>
      <c r="U6" s="1">
        <v>-2542361</v>
      </c>
      <c r="V6" s="1">
        <v>-4927005</v>
      </c>
      <c r="W6" t="s">
        <v>52</v>
      </c>
      <c r="X6">
        <v>1</v>
      </c>
      <c r="Y6" t="s">
        <v>34</v>
      </c>
    </row>
    <row r="7" spans="1:25" x14ac:dyDescent="0.3">
      <c r="A7">
        <v>6</v>
      </c>
      <c r="B7">
        <v>6</v>
      </c>
      <c r="C7">
        <v>46938299000120</v>
      </c>
      <c r="D7">
        <v>3</v>
      </c>
      <c r="E7" t="s">
        <v>1574</v>
      </c>
      <c r="F7">
        <v>3</v>
      </c>
      <c r="G7" t="s">
        <v>1611</v>
      </c>
      <c r="H7" t="str">
        <f t="shared" si="0"/>
        <v>REDE 3 - BANDEIRA 3 - LOJA 6</v>
      </c>
      <c r="I7">
        <v>1</v>
      </c>
      <c r="J7" t="s">
        <v>26</v>
      </c>
      <c r="K7">
        <v>1</v>
      </c>
      <c r="L7" t="s">
        <v>53</v>
      </c>
      <c r="M7">
        <v>1</v>
      </c>
      <c r="N7" t="s">
        <v>28</v>
      </c>
      <c r="O7">
        <v>1</v>
      </c>
      <c r="P7" t="s">
        <v>29</v>
      </c>
      <c r="Q7" t="s">
        <v>30</v>
      </c>
      <c r="R7">
        <v>1</v>
      </c>
      <c r="S7" t="s">
        <v>31</v>
      </c>
      <c r="T7" t="s">
        <v>54</v>
      </c>
      <c r="U7" s="1">
        <v>-254430439</v>
      </c>
      <c r="V7" s="1">
        <v>-492908477999999</v>
      </c>
      <c r="W7" t="s">
        <v>55</v>
      </c>
      <c r="X7">
        <v>1</v>
      </c>
      <c r="Y7" t="s">
        <v>34</v>
      </c>
    </row>
    <row r="8" spans="1:25" x14ac:dyDescent="0.3">
      <c r="A8">
        <v>7</v>
      </c>
      <c r="B8">
        <v>7</v>
      </c>
      <c r="C8">
        <v>44033765000101</v>
      </c>
      <c r="D8">
        <v>3</v>
      </c>
      <c r="E8" t="s">
        <v>1574</v>
      </c>
      <c r="F8">
        <v>3</v>
      </c>
      <c r="G8" t="s">
        <v>1611</v>
      </c>
      <c r="H8" t="str">
        <f t="shared" si="0"/>
        <v>REDE 3 - BANDEIRA 3 - LOJA 7</v>
      </c>
      <c r="I8">
        <v>1</v>
      </c>
      <c r="J8" t="s">
        <v>26</v>
      </c>
      <c r="K8">
        <v>1</v>
      </c>
      <c r="L8" t="s">
        <v>56</v>
      </c>
      <c r="M8">
        <v>2</v>
      </c>
      <c r="N8" t="s">
        <v>36</v>
      </c>
      <c r="O8">
        <v>2</v>
      </c>
      <c r="P8" t="s">
        <v>37</v>
      </c>
      <c r="Q8" t="s">
        <v>38</v>
      </c>
      <c r="R8">
        <v>2</v>
      </c>
      <c r="S8" t="s">
        <v>39</v>
      </c>
      <c r="T8" t="s">
        <v>57</v>
      </c>
      <c r="U8" s="1">
        <v>-235075493</v>
      </c>
      <c r="V8" s="1">
        <v>-466485458</v>
      </c>
      <c r="W8" t="s">
        <v>58</v>
      </c>
      <c r="X8">
        <v>1</v>
      </c>
      <c r="Y8" t="s">
        <v>34</v>
      </c>
    </row>
    <row r="9" spans="1:25" x14ac:dyDescent="0.3">
      <c r="A9">
        <v>8</v>
      </c>
      <c r="B9">
        <v>8</v>
      </c>
      <c r="C9">
        <v>25680818000123</v>
      </c>
      <c r="D9">
        <v>3</v>
      </c>
      <c r="E9" t="s">
        <v>1574</v>
      </c>
      <c r="F9">
        <v>3</v>
      </c>
      <c r="G9" t="s">
        <v>1611</v>
      </c>
      <c r="H9" t="str">
        <f t="shared" si="0"/>
        <v>REDE 3 - BANDEIRA 3 - LOJA 8</v>
      </c>
      <c r="I9">
        <v>1</v>
      </c>
      <c r="J9" t="s">
        <v>26</v>
      </c>
      <c r="K9">
        <v>1</v>
      </c>
      <c r="L9" t="s">
        <v>59</v>
      </c>
      <c r="M9">
        <v>4</v>
      </c>
      <c r="N9" t="s">
        <v>60</v>
      </c>
      <c r="O9">
        <v>4</v>
      </c>
      <c r="P9" t="s">
        <v>61</v>
      </c>
      <c r="Q9" t="s">
        <v>62</v>
      </c>
      <c r="R9">
        <v>3</v>
      </c>
      <c r="S9" t="s">
        <v>63</v>
      </c>
      <c r="T9" t="s">
        <v>64</v>
      </c>
      <c r="U9" s="1">
        <v>-157498868</v>
      </c>
      <c r="V9" s="1">
        <v>-479259976</v>
      </c>
      <c r="W9" t="s">
        <v>65</v>
      </c>
      <c r="X9">
        <v>1</v>
      </c>
      <c r="Y9" t="s">
        <v>34</v>
      </c>
    </row>
    <row r="10" spans="1:25" x14ac:dyDescent="0.3">
      <c r="A10">
        <v>9</v>
      </c>
      <c r="B10">
        <v>9</v>
      </c>
      <c r="C10">
        <v>26519685000170</v>
      </c>
      <c r="D10">
        <v>3</v>
      </c>
      <c r="E10" t="s">
        <v>1574</v>
      </c>
      <c r="F10">
        <v>3</v>
      </c>
      <c r="G10" t="s">
        <v>1611</v>
      </c>
      <c r="H10" t="str">
        <f t="shared" si="0"/>
        <v>REDE 3 - BANDEIRA 3 - LOJA 9</v>
      </c>
      <c r="I10">
        <v>1</v>
      </c>
      <c r="J10" t="s">
        <v>26</v>
      </c>
      <c r="K10">
        <v>1</v>
      </c>
      <c r="L10" t="s">
        <v>66</v>
      </c>
      <c r="M10">
        <v>4</v>
      </c>
      <c r="N10" t="s">
        <v>60</v>
      </c>
      <c r="O10">
        <v>4</v>
      </c>
      <c r="P10" t="s">
        <v>61</v>
      </c>
      <c r="Q10" t="s">
        <v>62</v>
      </c>
      <c r="R10">
        <v>3</v>
      </c>
      <c r="S10" t="s">
        <v>63</v>
      </c>
      <c r="T10" t="s">
        <v>67</v>
      </c>
      <c r="U10" s="1">
        <v>-156913725</v>
      </c>
      <c r="V10" s="1">
        <v>-478271418</v>
      </c>
      <c r="W10" t="s">
        <v>68</v>
      </c>
      <c r="X10">
        <v>1</v>
      </c>
      <c r="Y10" t="s">
        <v>34</v>
      </c>
    </row>
    <row r="11" spans="1:25" x14ac:dyDescent="0.3">
      <c r="A11">
        <v>10</v>
      </c>
      <c r="B11">
        <v>10</v>
      </c>
      <c r="C11">
        <v>26762081000150</v>
      </c>
      <c r="D11">
        <v>3</v>
      </c>
      <c r="E11" t="s">
        <v>1574</v>
      </c>
      <c r="F11">
        <v>3</v>
      </c>
      <c r="G11" t="s">
        <v>1611</v>
      </c>
      <c r="H11" t="str">
        <f t="shared" si="0"/>
        <v>REDE 3 - BANDEIRA 3 - LOJA 10</v>
      </c>
      <c r="I11">
        <v>1</v>
      </c>
      <c r="J11" t="s">
        <v>26</v>
      </c>
      <c r="K11">
        <v>1</v>
      </c>
      <c r="L11" t="s">
        <v>69</v>
      </c>
      <c r="M11">
        <v>4</v>
      </c>
      <c r="N11" t="s">
        <v>60</v>
      </c>
      <c r="O11">
        <v>4</v>
      </c>
      <c r="P11" t="s">
        <v>61</v>
      </c>
      <c r="Q11" t="s">
        <v>62</v>
      </c>
      <c r="R11">
        <v>3</v>
      </c>
      <c r="S11" t="s">
        <v>63</v>
      </c>
      <c r="T11" t="s">
        <v>67</v>
      </c>
      <c r="U11" s="1">
        <v>-15845749</v>
      </c>
      <c r="V11" s="1">
        <v>-48041069</v>
      </c>
      <c r="W11" t="s">
        <v>68</v>
      </c>
      <c r="X11">
        <v>1</v>
      </c>
      <c r="Y11" t="s">
        <v>34</v>
      </c>
    </row>
    <row r="12" spans="1:25" x14ac:dyDescent="0.3">
      <c r="A12">
        <v>11</v>
      </c>
      <c r="B12">
        <v>11</v>
      </c>
      <c r="C12">
        <v>25266790000182</v>
      </c>
      <c r="D12">
        <v>3</v>
      </c>
      <c r="E12" t="s">
        <v>1574</v>
      </c>
      <c r="F12">
        <v>3</v>
      </c>
      <c r="G12" t="s">
        <v>1611</v>
      </c>
      <c r="H12" t="str">
        <f t="shared" si="0"/>
        <v>REDE 3 - BANDEIRA 3 - LOJA 11</v>
      </c>
      <c r="I12">
        <v>1</v>
      </c>
      <c r="J12" t="s">
        <v>26</v>
      </c>
      <c r="K12">
        <v>1</v>
      </c>
      <c r="L12" t="s">
        <v>70</v>
      </c>
      <c r="M12">
        <v>4</v>
      </c>
      <c r="N12" t="s">
        <v>60</v>
      </c>
      <c r="O12">
        <v>4</v>
      </c>
      <c r="P12" t="s">
        <v>61</v>
      </c>
      <c r="Q12" t="s">
        <v>62</v>
      </c>
      <c r="R12">
        <v>3</v>
      </c>
      <c r="S12" t="s">
        <v>63</v>
      </c>
      <c r="T12" t="s">
        <v>71</v>
      </c>
      <c r="U12" s="1">
        <v>-15809798</v>
      </c>
      <c r="V12" s="1">
        <v>-48093950</v>
      </c>
      <c r="W12" t="s">
        <v>72</v>
      </c>
      <c r="X12">
        <v>1</v>
      </c>
      <c r="Y12" t="s">
        <v>34</v>
      </c>
    </row>
    <row r="13" spans="1:25" x14ac:dyDescent="0.3">
      <c r="A13">
        <v>12</v>
      </c>
      <c r="B13">
        <v>12</v>
      </c>
      <c r="C13">
        <v>28411583000162</v>
      </c>
      <c r="D13">
        <v>3</v>
      </c>
      <c r="E13" t="s">
        <v>1574</v>
      </c>
      <c r="F13">
        <v>3</v>
      </c>
      <c r="G13" t="s">
        <v>1611</v>
      </c>
      <c r="H13" t="str">
        <f t="shared" si="0"/>
        <v>REDE 3 - BANDEIRA 3 - LOJA 12</v>
      </c>
      <c r="I13">
        <v>1</v>
      </c>
      <c r="J13" t="s">
        <v>26</v>
      </c>
      <c r="K13">
        <v>1</v>
      </c>
      <c r="L13" t="s">
        <v>73</v>
      </c>
      <c r="M13">
        <v>4</v>
      </c>
      <c r="N13" t="s">
        <v>60</v>
      </c>
      <c r="O13">
        <v>4</v>
      </c>
      <c r="P13" t="s">
        <v>61</v>
      </c>
      <c r="Q13" t="s">
        <v>62</v>
      </c>
      <c r="R13">
        <v>3</v>
      </c>
      <c r="S13" t="s">
        <v>63</v>
      </c>
      <c r="T13" t="s">
        <v>74</v>
      </c>
      <c r="U13" s="1">
        <v>-157640462</v>
      </c>
      <c r="V13" s="1">
        <v>-478914234</v>
      </c>
      <c r="W13" t="s">
        <v>75</v>
      </c>
      <c r="X13">
        <v>1</v>
      </c>
      <c r="Y13" t="s">
        <v>34</v>
      </c>
    </row>
    <row r="14" spans="1:25" x14ac:dyDescent="0.3">
      <c r="A14">
        <v>13</v>
      </c>
      <c r="B14">
        <v>13</v>
      </c>
      <c r="C14">
        <v>43025198000170</v>
      </c>
      <c r="D14">
        <v>3</v>
      </c>
      <c r="E14" t="s">
        <v>1574</v>
      </c>
      <c r="F14">
        <v>3</v>
      </c>
      <c r="G14" t="s">
        <v>1611</v>
      </c>
      <c r="H14" t="str">
        <f t="shared" si="0"/>
        <v>REDE 3 - BANDEIRA 3 - LOJA 13</v>
      </c>
      <c r="I14">
        <v>1</v>
      </c>
      <c r="J14" t="s">
        <v>26</v>
      </c>
      <c r="K14">
        <v>1</v>
      </c>
      <c r="L14" t="s">
        <v>76</v>
      </c>
      <c r="M14">
        <v>4</v>
      </c>
      <c r="N14" t="s">
        <v>60</v>
      </c>
      <c r="O14">
        <v>4</v>
      </c>
      <c r="P14" t="s">
        <v>61</v>
      </c>
      <c r="Q14" t="s">
        <v>62</v>
      </c>
      <c r="R14">
        <v>3</v>
      </c>
      <c r="S14" t="s">
        <v>63</v>
      </c>
      <c r="T14" t="s">
        <v>77</v>
      </c>
      <c r="U14" s="1">
        <v>-15695719</v>
      </c>
      <c r="V14" s="1">
        <v>-47872585</v>
      </c>
      <c r="W14" t="s">
        <v>78</v>
      </c>
      <c r="X14">
        <v>1</v>
      </c>
      <c r="Y14" t="s">
        <v>34</v>
      </c>
    </row>
    <row r="15" spans="1:25" x14ac:dyDescent="0.3">
      <c r="A15">
        <v>14</v>
      </c>
      <c r="B15">
        <v>14</v>
      </c>
      <c r="C15">
        <v>39879944000116</v>
      </c>
      <c r="D15">
        <v>3</v>
      </c>
      <c r="E15" t="s">
        <v>1574</v>
      </c>
      <c r="F15">
        <v>3</v>
      </c>
      <c r="G15" t="s">
        <v>1611</v>
      </c>
      <c r="H15" t="str">
        <f t="shared" si="0"/>
        <v>REDE 3 - BANDEIRA 3 - LOJA 14</v>
      </c>
      <c r="I15">
        <v>1</v>
      </c>
      <c r="J15" t="s">
        <v>26</v>
      </c>
      <c r="K15">
        <v>1</v>
      </c>
      <c r="L15" t="s">
        <v>79</v>
      </c>
      <c r="M15">
        <v>4</v>
      </c>
      <c r="N15" t="s">
        <v>60</v>
      </c>
      <c r="O15">
        <v>4</v>
      </c>
      <c r="P15" t="s">
        <v>61</v>
      </c>
      <c r="Q15" t="s">
        <v>62</v>
      </c>
      <c r="R15">
        <v>3</v>
      </c>
      <c r="S15" t="s">
        <v>63</v>
      </c>
      <c r="T15" t="s">
        <v>80</v>
      </c>
      <c r="U15" s="1">
        <v>-157081548</v>
      </c>
      <c r="V15" s="1">
        <v>-479146971</v>
      </c>
      <c r="W15" t="s">
        <v>65</v>
      </c>
      <c r="X15">
        <v>1</v>
      </c>
      <c r="Y15" t="s">
        <v>34</v>
      </c>
    </row>
    <row r="16" spans="1:25" x14ac:dyDescent="0.3">
      <c r="A16">
        <v>15</v>
      </c>
      <c r="B16">
        <v>15</v>
      </c>
      <c r="C16">
        <v>35617227000165</v>
      </c>
      <c r="D16">
        <v>3</v>
      </c>
      <c r="E16" t="s">
        <v>1574</v>
      </c>
      <c r="F16">
        <v>3</v>
      </c>
      <c r="G16" t="s">
        <v>1611</v>
      </c>
      <c r="H16" t="str">
        <f t="shared" si="0"/>
        <v>REDE 3 - BANDEIRA 3 - LOJA 15</v>
      </c>
      <c r="I16">
        <v>1</v>
      </c>
      <c r="J16" t="s">
        <v>26</v>
      </c>
      <c r="K16">
        <v>1</v>
      </c>
      <c r="L16" t="s">
        <v>81</v>
      </c>
      <c r="M16">
        <v>4</v>
      </c>
      <c r="N16" t="s">
        <v>60</v>
      </c>
      <c r="O16">
        <v>4</v>
      </c>
      <c r="P16" t="s">
        <v>61</v>
      </c>
      <c r="Q16" t="s">
        <v>62</v>
      </c>
      <c r="R16">
        <v>3</v>
      </c>
      <c r="S16" t="s">
        <v>63</v>
      </c>
      <c r="T16" t="s">
        <v>82</v>
      </c>
      <c r="U16" s="1">
        <v>-158277639</v>
      </c>
      <c r="V16" s="1">
        <v>-479249014</v>
      </c>
      <c r="W16" t="s">
        <v>83</v>
      </c>
      <c r="X16">
        <v>1</v>
      </c>
      <c r="Y16" t="s">
        <v>34</v>
      </c>
    </row>
    <row r="17" spans="1:25" x14ac:dyDescent="0.3">
      <c r="A17">
        <v>16</v>
      </c>
      <c r="B17">
        <v>16</v>
      </c>
      <c r="C17">
        <v>24075447000198</v>
      </c>
      <c r="D17">
        <v>3</v>
      </c>
      <c r="E17" t="s">
        <v>1574</v>
      </c>
      <c r="F17">
        <v>3</v>
      </c>
      <c r="G17" t="s">
        <v>1611</v>
      </c>
      <c r="H17" t="str">
        <f t="shared" si="0"/>
        <v>REDE 3 - BANDEIRA 3 - LOJA 16</v>
      </c>
      <c r="I17">
        <v>1</v>
      </c>
      <c r="J17" t="s">
        <v>26</v>
      </c>
      <c r="K17">
        <v>1</v>
      </c>
      <c r="L17" t="s">
        <v>84</v>
      </c>
      <c r="M17">
        <v>4</v>
      </c>
      <c r="N17" t="s">
        <v>60</v>
      </c>
      <c r="O17">
        <v>4</v>
      </c>
      <c r="P17" t="s">
        <v>61</v>
      </c>
      <c r="Q17" t="s">
        <v>62</v>
      </c>
      <c r="R17">
        <v>3</v>
      </c>
      <c r="S17" t="s">
        <v>63</v>
      </c>
      <c r="T17" t="s">
        <v>85</v>
      </c>
      <c r="U17" s="1">
        <v>-157556955</v>
      </c>
      <c r="V17" s="1">
        <v>-478881308</v>
      </c>
      <c r="W17" t="s">
        <v>86</v>
      </c>
      <c r="X17">
        <v>1</v>
      </c>
      <c r="Y17" t="s">
        <v>34</v>
      </c>
    </row>
    <row r="18" spans="1:25" x14ac:dyDescent="0.3">
      <c r="A18">
        <v>17</v>
      </c>
      <c r="B18">
        <v>17</v>
      </c>
      <c r="C18">
        <v>29590694000146</v>
      </c>
      <c r="D18">
        <v>3</v>
      </c>
      <c r="E18" t="s">
        <v>1574</v>
      </c>
      <c r="F18">
        <v>3</v>
      </c>
      <c r="G18" t="s">
        <v>1611</v>
      </c>
      <c r="H18" t="str">
        <f t="shared" si="0"/>
        <v>REDE 3 - BANDEIRA 3 - LOJA 17</v>
      </c>
      <c r="I18">
        <v>1</v>
      </c>
      <c r="J18" t="s">
        <v>26</v>
      </c>
      <c r="K18">
        <v>1</v>
      </c>
      <c r="L18" t="s">
        <v>87</v>
      </c>
      <c r="M18">
        <v>4</v>
      </c>
      <c r="N18" t="s">
        <v>60</v>
      </c>
      <c r="O18">
        <v>4</v>
      </c>
      <c r="P18" t="s">
        <v>61</v>
      </c>
      <c r="Q18" t="s">
        <v>62</v>
      </c>
      <c r="R18">
        <v>3</v>
      </c>
      <c r="S18" t="s">
        <v>63</v>
      </c>
      <c r="T18" t="s">
        <v>88</v>
      </c>
      <c r="U18" s="1">
        <v>-158277639</v>
      </c>
      <c r="V18" s="1">
        <v>-479249014</v>
      </c>
      <c r="W18" t="s">
        <v>83</v>
      </c>
      <c r="X18">
        <v>1</v>
      </c>
      <c r="Y18" t="s">
        <v>34</v>
      </c>
    </row>
    <row r="19" spans="1:25" x14ac:dyDescent="0.3">
      <c r="A19">
        <v>18</v>
      </c>
      <c r="B19">
        <v>18</v>
      </c>
      <c r="C19">
        <v>32227582000130</v>
      </c>
      <c r="D19">
        <v>3</v>
      </c>
      <c r="E19" t="s">
        <v>1574</v>
      </c>
      <c r="F19">
        <v>3</v>
      </c>
      <c r="G19" t="s">
        <v>1611</v>
      </c>
      <c r="H19" t="str">
        <f t="shared" si="0"/>
        <v>REDE 3 - BANDEIRA 3 - LOJA 18</v>
      </c>
      <c r="I19">
        <v>1</v>
      </c>
      <c r="J19" t="s">
        <v>26</v>
      </c>
      <c r="K19">
        <v>1</v>
      </c>
      <c r="L19" t="s">
        <v>89</v>
      </c>
      <c r="M19">
        <v>4</v>
      </c>
      <c r="N19" t="s">
        <v>60</v>
      </c>
      <c r="O19">
        <v>4</v>
      </c>
      <c r="P19" t="s">
        <v>61</v>
      </c>
      <c r="Q19" t="s">
        <v>62</v>
      </c>
      <c r="R19">
        <v>3</v>
      </c>
      <c r="S19" t="s">
        <v>63</v>
      </c>
      <c r="T19" t="s">
        <v>90</v>
      </c>
      <c r="U19" s="1">
        <v>-158277639</v>
      </c>
      <c r="V19" s="1">
        <v>-479249014</v>
      </c>
      <c r="W19" t="s">
        <v>83</v>
      </c>
      <c r="X19">
        <v>0</v>
      </c>
      <c r="Y19" t="s">
        <v>46</v>
      </c>
    </row>
    <row r="20" spans="1:25" x14ac:dyDescent="0.3">
      <c r="A20">
        <v>19</v>
      </c>
      <c r="B20">
        <v>19</v>
      </c>
      <c r="C20">
        <v>31888971000143</v>
      </c>
      <c r="D20">
        <v>3</v>
      </c>
      <c r="E20" t="s">
        <v>1574</v>
      </c>
      <c r="F20">
        <v>3</v>
      </c>
      <c r="G20" t="s">
        <v>1611</v>
      </c>
      <c r="H20" t="str">
        <f t="shared" si="0"/>
        <v>REDE 3 - BANDEIRA 3 - LOJA 19</v>
      </c>
      <c r="I20">
        <v>1</v>
      </c>
      <c r="J20" t="s">
        <v>26</v>
      </c>
      <c r="K20">
        <v>1</v>
      </c>
      <c r="L20" t="s">
        <v>91</v>
      </c>
      <c r="M20">
        <v>4</v>
      </c>
      <c r="N20" t="s">
        <v>60</v>
      </c>
      <c r="O20">
        <v>4</v>
      </c>
      <c r="P20" t="s">
        <v>61</v>
      </c>
      <c r="Q20" t="s">
        <v>62</v>
      </c>
      <c r="R20">
        <v>3</v>
      </c>
      <c r="S20" t="s">
        <v>63</v>
      </c>
      <c r="T20" t="s">
        <v>92</v>
      </c>
      <c r="U20" s="1">
        <v>-157573475</v>
      </c>
      <c r="V20" s="1">
        <v>-478833417</v>
      </c>
      <c r="W20" t="s">
        <v>65</v>
      </c>
      <c r="X20">
        <v>1</v>
      </c>
      <c r="Y20" t="s">
        <v>34</v>
      </c>
    </row>
    <row r="21" spans="1:25" x14ac:dyDescent="0.3">
      <c r="A21">
        <v>20</v>
      </c>
      <c r="B21">
        <v>20</v>
      </c>
      <c r="C21">
        <v>39565290000156</v>
      </c>
      <c r="D21">
        <v>3</v>
      </c>
      <c r="E21" t="s">
        <v>1574</v>
      </c>
      <c r="F21">
        <v>3</v>
      </c>
      <c r="G21" t="s">
        <v>1611</v>
      </c>
      <c r="H21" t="str">
        <f t="shared" si="0"/>
        <v>REDE 3 - BANDEIRA 3 - LOJA 20</v>
      </c>
      <c r="I21">
        <v>1</v>
      </c>
      <c r="J21" t="s">
        <v>26</v>
      </c>
      <c r="K21">
        <v>1</v>
      </c>
      <c r="L21" t="s">
        <v>93</v>
      </c>
      <c r="M21">
        <v>4</v>
      </c>
      <c r="N21" t="s">
        <v>60</v>
      </c>
      <c r="O21">
        <v>4</v>
      </c>
      <c r="P21" t="s">
        <v>61</v>
      </c>
      <c r="Q21" t="s">
        <v>62</v>
      </c>
      <c r="R21">
        <v>3</v>
      </c>
      <c r="S21" t="s">
        <v>63</v>
      </c>
      <c r="T21" t="s">
        <v>94</v>
      </c>
      <c r="U21" s="1">
        <v>-157984359</v>
      </c>
      <c r="V21" s="1">
        <v>-479218915</v>
      </c>
      <c r="W21" t="s">
        <v>95</v>
      </c>
      <c r="X21">
        <v>1</v>
      </c>
      <c r="Y21" t="s">
        <v>34</v>
      </c>
    </row>
    <row r="22" spans="1:25" x14ac:dyDescent="0.3">
      <c r="A22">
        <v>21</v>
      </c>
      <c r="B22">
        <v>21</v>
      </c>
      <c r="C22">
        <v>29111208000160</v>
      </c>
      <c r="D22">
        <v>3</v>
      </c>
      <c r="E22" t="s">
        <v>1574</v>
      </c>
      <c r="F22">
        <v>3</v>
      </c>
      <c r="G22" t="s">
        <v>1611</v>
      </c>
      <c r="H22" t="str">
        <f t="shared" si="0"/>
        <v>REDE 3 - BANDEIRA 3 - LOJA 21</v>
      </c>
      <c r="I22">
        <v>1</v>
      </c>
      <c r="J22" t="s">
        <v>26</v>
      </c>
      <c r="K22">
        <v>1</v>
      </c>
      <c r="L22" t="s">
        <v>96</v>
      </c>
      <c r="M22">
        <v>4</v>
      </c>
      <c r="N22" t="s">
        <v>60</v>
      </c>
      <c r="O22">
        <v>4</v>
      </c>
      <c r="P22" t="s">
        <v>61</v>
      </c>
      <c r="Q22" t="s">
        <v>62</v>
      </c>
      <c r="R22">
        <v>3</v>
      </c>
      <c r="S22" t="s">
        <v>63</v>
      </c>
      <c r="T22" t="s">
        <v>97</v>
      </c>
      <c r="U22" s="1">
        <v>-158699745</v>
      </c>
      <c r="V22" s="1">
        <v>-479209672</v>
      </c>
      <c r="W22" t="s">
        <v>98</v>
      </c>
      <c r="X22">
        <v>1</v>
      </c>
      <c r="Y22" t="s">
        <v>34</v>
      </c>
    </row>
    <row r="23" spans="1:25" x14ac:dyDescent="0.3">
      <c r="A23">
        <v>22</v>
      </c>
      <c r="B23">
        <v>22</v>
      </c>
      <c r="C23">
        <v>36129696000106</v>
      </c>
      <c r="D23">
        <v>3</v>
      </c>
      <c r="E23" t="s">
        <v>1574</v>
      </c>
      <c r="F23">
        <v>3</v>
      </c>
      <c r="G23" t="s">
        <v>1611</v>
      </c>
      <c r="H23" t="str">
        <f t="shared" si="0"/>
        <v>REDE 3 - BANDEIRA 3 - LOJA 22</v>
      </c>
      <c r="I23">
        <v>1</v>
      </c>
      <c r="J23" t="s">
        <v>26</v>
      </c>
      <c r="K23">
        <v>1</v>
      </c>
      <c r="L23" t="s">
        <v>99</v>
      </c>
      <c r="M23">
        <v>4</v>
      </c>
      <c r="N23" t="s">
        <v>60</v>
      </c>
      <c r="O23">
        <v>4</v>
      </c>
      <c r="P23" t="s">
        <v>61</v>
      </c>
      <c r="Q23" t="s">
        <v>62</v>
      </c>
      <c r="R23">
        <v>3</v>
      </c>
      <c r="S23" t="s">
        <v>63</v>
      </c>
      <c r="T23" t="s">
        <v>100</v>
      </c>
      <c r="U23" s="1">
        <v>-1586956</v>
      </c>
      <c r="V23" s="1">
        <v>-4792176</v>
      </c>
      <c r="W23" t="s">
        <v>101</v>
      </c>
      <c r="X23">
        <v>1</v>
      </c>
      <c r="Y23" t="s">
        <v>34</v>
      </c>
    </row>
    <row r="24" spans="1:25" x14ac:dyDescent="0.3">
      <c r="A24">
        <v>23</v>
      </c>
      <c r="B24">
        <v>23</v>
      </c>
      <c r="C24">
        <v>32474091000193</v>
      </c>
      <c r="D24">
        <v>3</v>
      </c>
      <c r="E24" t="s">
        <v>1574</v>
      </c>
      <c r="F24">
        <v>3</v>
      </c>
      <c r="G24" t="s">
        <v>1611</v>
      </c>
      <c r="H24" t="str">
        <f t="shared" si="0"/>
        <v>REDE 3 - BANDEIRA 3 - LOJA 23</v>
      </c>
      <c r="I24">
        <v>1</v>
      </c>
      <c r="J24" t="s">
        <v>26</v>
      </c>
      <c r="K24">
        <v>1</v>
      </c>
      <c r="L24" t="s">
        <v>102</v>
      </c>
      <c r="M24">
        <v>4</v>
      </c>
      <c r="N24" t="s">
        <v>60</v>
      </c>
      <c r="O24">
        <v>4</v>
      </c>
      <c r="P24" t="s">
        <v>61</v>
      </c>
      <c r="Q24" t="s">
        <v>62</v>
      </c>
      <c r="R24">
        <v>3</v>
      </c>
      <c r="S24" t="s">
        <v>63</v>
      </c>
      <c r="T24" t="s">
        <v>103</v>
      </c>
      <c r="U24" s="1">
        <v>-158407831</v>
      </c>
      <c r="V24" s="1">
        <v>-4822721</v>
      </c>
      <c r="W24" t="s">
        <v>104</v>
      </c>
      <c r="X24">
        <v>0</v>
      </c>
      <c r="Y24" t="s">
        <v>46</v>
      </c>
    </row>
    <row r="25" spans="1:25" x14ac:dyDescent="0.3">
      <c r="A25">
        <v>24</v>
      </c>
      <c r="B25">
        <v>24</v>
      </c>
      <c r="C25">
        <v>37583345000125</v>
      </c>
      <c r="D25">
        <v>3</v>
      </c>
      <c r="E25" t="s">
        <v>1574</v>
      </c>
      <c r="F25">
        <v>3</v>
      </c>
      <c r="G25" t="s">
        <v>1611</v>
      </c>
      <c r="H25" t="str">
        <f t="shared" si="0"/>
        <v>REDE 3 - BANDEIRA 3 - LOJA 24</v>
      </c>
      <c r="I25">
        <v>1</v>
      </c>
      <c r="J25" t="s">
        <v>26</v>
      </c>
      <c r="K25">
        <v>1</v>
      </c>
      <c r="L25" t="s">
        <v>105</v>
      </c>
      <c r="M25">
        <v>4</v>
      </c>
      <c r="N25" t="s">
        <v>60</v>
      </c>
      <c r="O25">
        <v>4</v>
      </c>
      <c r="P25" t="s">
        <v>61</v>
      </c>
      <c r="Q25" t="s">
        <v>62</v>
      </c>
      <c r="R25">
        <v>3</v>
      </c>
      <c r="S25" t="s">
        <v>63</v>
      </c>
      <c r="T25" t="s">
        <v>106</v>
      </c>
      <c r="U25" s="1">
        <v>-15841438</v>
      </c>
      <c r="V25" s="1">
        <v>-48023560</v>
      </c>
      <c r="W25" t="s">
        <v>104</v>
      </c>
      <c r="X25">
        <v>1</v>
      </c>
      <c r="Y25" t="s">
        <v>34</v>
      </c>
    </row>
    <row r="26" spans="1:25" x14ac:dyDescent="0.3">
      <c r="A26">
        <v>25</v>
      </c>
      <c r="B26">
        <v>25</v>
      </c>
      <c r="C26">
        <v>45680715000170</v>
      </c>
      <c r="D26">
        <v>3</v>
      </c>
      <c r="E26" t="s">
        <v>1574</v>
      </c>
      <c r="F26">
        <v>3</v>
      </c>
      <c r="G26" t="s">
        <v>1611</v>
      </c>
      <c r="H26" t="str">
        <f t="shared" si="0"/>
        <v>REDE 3 - BANDEIRA 3 - LOJA 25</v>
      </c>
      <c r="I26">
        <v>1</v>
      </c>
      <c r="J26" t="s">
        <v>26</v>
      </c>
      <c r="K26">
        <v>1</v>
      </c>
      <c r="L26" t="s">
        <v>107</v>
      </c>
      <c r="M26">
        <v>3</v>
      </c>
      <c r="N26" t="s">
        <v>43</v>
      </c>
      <c r="O26">
        <v>3</v>
      </c>
      <c r="P26" t="s">
        <v>44</v>
      </c>
      <c r="Q26" t="s">
        <v>43</v>
      </c>
      <c r="R26">
        <v>2</v>
      </c>
      <c r="S26" t="s">
        <v>39</v>
      </c>
      <c r="T26" t="s">
        <v>108</v>
      </c>
      <c r="U26" s="1">
        <v>-23119956</v>
      </c>
      <c r="V26" s="1">
        <v>-43461621</v>
      </c>
      <c r="W26" t="s">
        <v>109</v>
      </c>
      <c r="X26">
        <v>1</v>
      </c>
      <c r="Y26" t="s">
        <v>34</v>
      </c>
    </row>
    <row r="27" spans="1:25" x14ac:dyDescent="0.3">
      <c r="A27">
        <v>26</v>
      </c>
      <c r="B27">
        <v>26</v>
      </c>
      <c r="C27">
        <v>34427967000176</v>
      </c>
      <c r="D27">
        <v>3</v>
      </c>
      <c r="E27" t="s">
        <v>1574</v>
      </c>
      <c r="F27">
        <v>3</v>
      </c>
      <c r="G27" t="s">
        <v>1611</v>
      </c>
      <c r="H27" t="str">
        <f t="shared" si="0"/>
        <v>REDE 3 - BANDEIRA 3 - LOJA 26</v>
      </c>
      <c r="I27">
        <v>1</v>
      </c>
      <c r="J27" t="s">
        <v>26</v>
      </c>
      <c r="K27">
        <v>1</v>
      </c>
      <c r="L27" t="s">
        <v>102</v>
      </c>
      <c r="M27">
        <v>4</v>
      </c>
      <c r="N27" t="s">
        <v>60</v>
      </c>
      <c r="O27">
        <v>4</v>
      </c>
      <c r="P27" t="s">
        <v>61</v>
      </c>
      <c r="Q27" t="s">
        <v>62</v>
      </c>
      <c r="R27">
        <v>3</v>
      </c>
      <c r="S27" t="s">
        <v>63</v>
      </c>
      <c r="T27" t="s">
        <v>103</v>
      </c>
      <c r="U27" s="1">
        <v>-1584067358021950</v>
      </c>
      <c r="V27" s="1">
        <v>-4802277022902350</v>
      </c>
      <c r="W27" t="s">
        <v>104</v>
      </c>
      <c r="X27">
        <v>1</v>
      </c>
      <c r="Y27" t="s">
        <v>34</v>
      </c>
    </row>
    <row r="28" spans="1:25" x14ac:dyDescent="0.3">
      <c r="A28">
        <v>27</v>
      </c>
      <c r="B28">
        <v>27</v>
      </c>
      <c r="C28">
        <v>33059091000190</v>
      </c>
      <c r="D28">
        <v>3</v>
      </c>
      <c r="E28" t="s">
        <v>1574</v>
      </c>
      <c r="F28">
        <v>3</v>
      </c>
      <c r="G28" t="s">
        <v>1611</v>
      </c>
      <c r="H28" t="str">
        <f t="shared" si="0"/>
        <v>REDE 3 - BANDEIRA 3 - LOJA 27</v>
      </c>
      <c r="I28">
        <v>1</v>
      </c>
      <c r="J28" t="s">
        <v>26</v>
      </c>
      <c r="K28">
        <v>1</v>
      </c>
      <c r="L28" t="s">
        <v>110</v>
      </c>
      <c r="M28">
        <v>3</v>
      </c>
      <c r="N28" t="s">
        <v>43</v>
      </c>
      <c r="O28">
        <v>3</v>
      </c>
      <c r="P28" t="s">
        <v>44</v>
      </c>
      <c r="Q28" t="s">
        <v>43</v>
      </c>
      <c r="R28">
        <v>2</v>
      </c>
      <c r="S28" t="s">
        <v>39</v>
      </c>
      <c r="T28" t="s">
        <v>111</v>
      </c>
      <c r="U28" s="1">
        <v>-228779402</v>
      </c>
      <c r="V28" s="1">
        <v>-434671382</v>
      </c>
      <c r="W28" t="s">
        <v>112</v>
      </c>
      <c r="X28">
        <v>1</v>
      </c>
      <c r="Y28" t="s">
        <v>34</v>
      </c>
    </row>
    <row r="29" spans="1:25" x14ac:dyDescent="0.3">
      <c r="A29">
        <v>28</v>
      </c>
      <c r="B29">
        <v>28</v>
      </c>
      <c r="C29">
        <v>44470344000130</v>
      </c>
      <c r="D29">
        <v>3</v>
      </c>
      <c r="E29" t="s">
        <v>1574</v>
      </c>
      <c r="F29">
        <v>3</v>
      </c>
      <c r="G29" t="s">
        <v>1611</v>
      </c>
      <c r="H29" t="str">
        <f t="shared" si="0"/>
        <v>REDE 3 - BANDEIRA 3 - LOJA 28</v>
      </c>
      <c r="I29">
        <v>1</v>
      </c>
      <c r="J29" t="s">
        <v>26</v>
      </c>
      <c r="K29">
        <v>1</v>
      </c>
      <c r="L29" t="s">
        <v>113</v>
      </c>
      <c r="M29">
        <v>3</v>
      </c>
      <c r="N29" t="s">
        <v>43</v>
      </c>
      <c r="O29">
        <v>3</v>
      </c>
      <c r="P29" t="s">
        <v>44</v>
      </c>
      <c r="Q29" t="s">
        <v>43</v>
      </c>
      <c r="R29">
        <v>2</v>
      </c>
      <c r="S29" t="s">
        <v>39</v>
      </c>
      <c r="T29" t="s">
        <v>114</v>
      </c>
      <c r="U29" s="1">
        <v>-229992432</v>
      </c>
      <c r="V29" s="1">
        <v>-43356174</v>
      </c>
      <c r="W29" t="s">
        <v>115</v>
      </c>
      <c r="X29">
        <v>1</v>
      </c>
      <c r="Y29" t="s">
        <v>34</v>
      </c>
    </row>
    <row r="30" spans="1:25" x14ac:dyDescent="0.3">
      <c r="A30">
        <v>29</v>
      </c>
      <c r="B30">
        <v>29</v>
      </c>
      <c r="C30">
        <v>29171149000115</v>
      </c>
      <c r="D30">
        <v>3</v>
      </c>
      <c r="E30" t="s">
        <v>1574</v>
      </c>
      <c r="F30">
        <v>3</v>
      </c>
      <c r="G30" t="s">
        <v>1611</v>
      </c>
      <c r="H30" t="str">
        <f t="shared" si="0"/>
        <v>REDE 3 - BANDEIRA 3 - LOJA 29</v>
      </c>
      <c r="I30">
        <v>1</v>
      </c>
      <c r="J30" t="s">
        <v>26</v>
      </c>
      <c r="K30">
        <v>1</v>
      </c>
      <c r="L30" t="s">
        <v>116</v>
      </c>
      <c r="M30">
        <v>3</v>
      </c>
      <c r="N30" t="s">
        <v>43</v>
      </c>
      <c r="O30">
        <v>3</v>
      </c>
      <c r="P30" t="s">
        <v>44</v>
      </c>
      <c r="Q30" t="s">
        <v>43</v>
      </c>
      <c r="R30">
        <v>2</v>
      </c>
      <c r="S30" t="s">
        <v>39</v>
      </c>
      <c r="T30" t="s">
        <v>117</v>
      </c>
      <c r="U30" s="1">
        <v>-229532226</v>
      </c>
      <c r="V30" s="1">
        <v>-431897549</v>
      </c>
      <c r="W30" t="s">
        <v>45</v>
      </c>
      <c r="X30">
        <v>1</v>
      </c>
      <c r="Y30" t="s">
        <v>34</v>
      </c>
    </row>
    <row r="31" spans="1:25" x14ac:dyDescent="0.3">
      <c r="A31">
        <v>30</v>
      </c>
      <c r="B31">
        <v>30</v>
      </c>
      <c r="C31">
        <v>24218186000118</v>
      </c>
      <c r="D31">
        <v>3</v>
      </c>
      <c r="E31" t="s">
        <v>1574</v>
      </c>
      <c r="F31">
        <v>3</v>
      </c>
      <c r="G31" t="s">
        <v>1611</v>
      </c>
      <c r="H31" t="str">
        <f t="shared" si="0"/>
        <v>REDE 3 - BANDEIRA 3 - LOJA 30</v>
      </c>
      <c r="I31">
        <v>1</v>
      </c>
      <c r="J31" t="s">
        <v>26</v>
      </c>
      <c r="K31">
        <v>1</v>
      </c>
      <c r="L31" t="s">
        <v>118</v>
      </c>
      <c r="M31">
        <v>4</v>
      </c>
      <c r="N31" t="s">
        <v>60</v>
      </c>
      <c r="O31">
        <v>4</v>
      </c>
      <c r="P31" t="s">
        <v>61</v>
      </c>
      <c r="Q31" t="s">
        <v>62</v>
      </c>
      <c r="R31">
        <v>3</v>
      </c>
      <c r="S31" t="s">
        <v>63</v>
      </c>
      <c r="T31" t="s">
        <v>119</v>
      </c>
      <c r="U31" s="1">
        <v>-15733764</v>
      </c>
      <c r="V31" s="1">
        <v>-47899077</v>
      </c>
      <c r="W31" t="s">
        <v>65</v>
      </c>
      <c r="X31">
        <v>1</v>
      </c>
      <c r="Y31" t="s">
        <v>34</v>
      </c>
    </row>
    <row r="32" spans="1:25" x14ac:dyDescent="0.3">
      <c r="A32">
        <v>31</v>
      </c>
      <c r="B32">
        <v>31</v>
      </c>
      <c r="C32">
        <v>31612150000180</v>
      </c>
      <c r="D32">
        <v>3</v>
      </c>
      <c r="E32" t="s">
        <v>1574</v>
      </c>
      <c r="F32">
        <v>3</v>
      </c>
      <c r="G32" t="s">
        <v>1611</v>
      </c>
      <c r="H32" t="str">
        <f t="shared" si="0"/>
        <v>REDE 3 - BANDEIRA 3 - LOJA 31</v>
      </c>
      <c r="I32">
        <v>1</v>
      </c>
      <c r="J32" t="s">
        <v>26</v>
      </c>
      <c r="K32">
        <v>1</v>
      </c>
      <c r="L32" t="s">
        <v>120</v>
      </c>
      <c r="M32">
        <v>4</v>
      </c>
      <c r="N32" t="s">
        <v>60</v>
      </c>
      <c r="O32">
        <v>4</v>
      </c>
      <c r="P32" t="s">
        <v>61</v>
      </c>
      <c r="Q32" t="s">
        <v>62</v>
      </c>
      <c r="R32">
        <v>3</v>
      </c>
      <c r="S32" t="s">
        <v>63</v>
      </c>
      <c r="T32" t="s">
        <v>121</v>
      </c>
      <c r="U32" s="1">
        <v>-15708703</v>
      </c>
      <c r="V32" s="1">
        <v>-479143751999999</v>
      </c>
      <c r="W32" t="s">
        <v>98</v>
      </c>
      <c r="X32">
        <v>1</v>
      </c>
      <c r="Y32" t="s">
        <v>34</v>
      </c>
    </row>
    <row r="33" spans="1:25" x14ac:dyDescent="0.3">
      <c r="A33">
        <v>32</v>
      </c>
      <c r="B33">
        <v>32</v>
      </c>
      <c r="C33">
        <v>27252804000134</v>
      </c>
      <c r="D33">
        <v>3</v>
      </c>
      <c r="E33" t="s">
        <v>1574</v>
      </c>
      <c r="F33">
        <v>3</v>
      </c>
      <c r="G33" t="s">
        <v>1611</v>
      </c>
      <c r="H33" t="str">
        <f t="shared" si="0"/>
        <v>REDE 3 - BANDEIRA 3 - LOJA 32</v>
      </c>
      <c r="I33">
        <v>1</v>
      </c>
      <c r="J33" t="s">
        <v>26</v>
      </c>
      <c r="K33">
        <v>1</v>
      </c>
      <c r="L33" t="s">
        <v>122</v>
      </c>
      <c r="M33">
        <v>4</v>
      </c>
      <c r="N33" t="s">
        <v>60</v>
      </c>
      <c r="O33">
        <v>4</v>
      </c>
      <c r="P33" t="s">
        <v>61</v>
      </c>
      <c r="Q33" t="s">
        <v>62</v>
      </c>
      <c r="R33">
        <v>3</v>
      </c>
      <c r="S33" t="s">
        <v>63</v>
      </c>
      <c r="T33" t="s">
        <v>123</v>
      </c>
      <c r="U33" s="1">
        <v>-158256474</v>
      </c>
      <c r="V33" s="1">
        <v>-479839754</v>
      </c>
      <c r="W33" t="s">
        <v>124</v>
      </c>
      <c r="X33">
        <v>1</v>
      </c>
      <c r="Y33" t="s">
        <v>34</v>
      </c>
    </row>
    <row r="34" spans="1:25" x14ac:dyDescent="0.3">
      <c r="A34">
        <v>33</v>
      </c>
      <c r="B34">
        <v>33</v>
      </c>
      <c r="C34">
        <v>48709514000147</v>
      </c>
      <c r="D34">
        <v>3</v>
      </c>
      <c r="E34" t="s">
        <v>1574</v>
      </c>
      <c r="F34">
        <v>3</v>
      </c>
      <c r="G34" t="s">
        <v>1611</v>
      </c>
      <c r="H34" t="str">
        <f t="shared" si="0"/>
        <v>REDE 3 - BANDEIRA 3 - LOJA 33</v>
      </c>
      <c r="I34">
        <v>1</v>
      </c>
      <c r="J34" t="s">
        <v>26</v>
      </c>
      <c r="K34">
        <v>1</v>
      </c>
      <c r="L34" t="s">
        <v>125</v>
      </c>
      <c r="M34">
        <v>4</v>
      </c>
      <c r="N34" t="s">
        <v>60</v>
      </c>
      <c r="O34">
        <v>4</v>
      </c>
      <c r="P34" t="s">
        <v>61</v>
      </c>
      <c r="Q34" t="s">
        <v>62</v>
      </c>
      <c r="R34">
        <v>3</v>
      </c>
      <c r="S34" t="s">
        <v>63</v>
      </c>
      <c r="T34" t="s">
        <v>126</v>
      </c>
      <c r="U34" s="1">
        <v>-15835476</v>
      </c>
      <c r="V34" s="1">
        <v>-48018930</v>
      </c>
      <c r="W34" t="s">
        <v>75</v>
      </c>
      <c r="X34">
        <v>1</v>
      </c>
      <c r="Y34" t="s">
        <v>34</v>
      </c>
    </row>
    <row r="35" spans="1:25" x14ac:dyDescent="0.3">
      <c r="A35">
        <v>34</v>
      </c>
      <c r="B35">
        <v>34</v>
      </c>
      <c r="C35">
        <v>40514092000142</v>
      </c>
      <c r="D35">
        <v>3</v>
      </c>
      <c r="E35" t="s">
        <v>1574</v>
      </c>
      <c r="F35">
        <v>3</v>
      </c>
      <c r="G35" t="s">
        <v>1611</v>
      </c>
      <c r="H35" t="str">
        <f t="shared" si="0"/>
        <v>REDE 3 - BANDEIRA 3 - LOJA 34</v>
      </c>
      <c r="I35">
        <v>1</v>
      </c>
      <c r="J35" t="s">
        <v>26</v>
      </c>
      <c r="K35">
        <v>1</v>
      </c>
      <c r="L35" t="s">
        <v>127</v>
      </c>
      <c r="M35">
        <v>3</v>
      </c>
      <c r="N35" t="s">
        <v>43</v>
      </c>
      <c r="O35">
        <v>3</v>
      </c>
      <c r="P35" t="s">
        <v>44</v>
      </c>
      <c r="Q35" t="s">
        <v>43</v>
      </c>
      <c r="R35">
        <v>2</v>
      </c>
      <c r="S35" t="s">
        <v>39</v>
      </c>
      <c r="T35" t="s">
        <v>128</v>
      </c>
      <c r="U35" s="1">
        <v>-23003924</v>
      </c>
      <c r="V35" s="1">
        <v>-43318848</v>
      </c>
      <c r="W35" t="s">
        <v>115</v>
      </c>
      <c r="X35">
        <v>1</v>
      </c>
      <c r="Y35" t="s">
        <v>34</v>
      </c>
    </row>
    <row r="36" spans="1:25" x14ac:dyDescent="0.3">
      <c r="A36">
        <v>35</v>
      </c>
      <c r="B36">
        <v>35</v>
      </c>
      <c r="C36">
        <v>29679128000105</v>
      </c>
      <c r="D36">
        <v>3</v>
      </c>
      <c r="E36" t="s">
        <v>1574</v>
      </c>
      <c r="F36">
        <v>3</v>
      </c>
      <c r="G36" t="s">
        <v>1611</v>
      </c>
      <c r="H36" t="str">
        <f t="shared" si="0"/>
        <v>REDE 3 - BANDEIRA 3 - LOJA 35</v>
      </c>
      <c r="I36">
        <v>1</v>
      </c>
      <c r="J36" t="s">
        <v>26</v>
      </c>
      <c r="K36">
        <v>1</v>
      </c>
      <c r="L36" t="s">
        <v>129</v>
      </c>
      <c r="M36">
        <v>4</v>
      </c>
      <c r="N36" t="s">
        <v>60</v>
      </c>
      <c r="O36">
        <v>4</v>
      </c>
      <c r="P36" t="s">
        <v>61</v>
      </c>
      <c r="Q36" t="s">
        <v>62</v>
      </c>
      <c r="R36">
        <v>3</v>
      </c>
      <c r="S36" t="s">
        <v>63</v>
      </c>
      <c r="T36" t="s">
        <v>119</v>
      </c>
      <c r="U36" s="1">
        <v>-157498868</v>
      </c>
      <c r="V36" s="1">
        <v>-479259976</v>
      </c>
      <c r="W36" t="s">
        <v>65</v>
      </c>
      <c r="X36">
        <v>1</v>
      </c>
      <c r="Y36" t="s">
        <v>34</v>
      </c>
    </row>
    <row r="37" spans="1:25" x14ac:dyDescent="0.3">
      <c r="A37">
        <v>36</v>
      </c>
      <c r="B37">
        <v>36</v>
      </c>
      <c r="C37">
        <v>36587518000110</v>
      </c>
      <c r="D37">
        <v>3</v>
      </c>
      <c r="E37" t="s">
        <v>1574</v>
      </c>
      <c r="F37">
        <v>3</v>
      </c>
      <c r="G37" t="s">
        <v>1611</v>
      </c>
      <c r="H37" t="str">
        <f t="shared" si="0"/>
        <v>REDE 3 - BANDEIRA 3 - LOJA 36</v>
      </c>
      <c r="I37">
        <v>1</v>
      </c>
      <c r="J37" t="s">
        <v>26</v>
      </c>
      <c r="K37">
        <v>1</v>
      </c>
      <c r="L37" t="s">
        <v>130</v>
      </c>
      <c r="M37">
        <v>4</v>
      </c>
      <c r="N37" t="s">
        <v>60</v>
      </c>
      <c r="O37">
        <v>4</v>
      </c>
      <c r="P37" t="s">
        <v>61</v>
      </c>
      <c r="Q37" t="s">
        <v>62</v>
      </c>
      <c r="R37">
        <v>3</v>
      </c>
      <c r="S37" t="s">
        <v>63</v>
      </c>
      <c r="T37" t="s">
        <v>131</v>
      </c>
      <c r="U37" s="1">
        <v>-157936075</v>
      </c>
      <c r="V37" s="1">
        <v>-479468618</v>
      </c>
      <c r="W37" t="s">
        <v>132</v>
      </c>
      <c r="X37">
        <v>1</v>
      </c>
      <c r="Y37" t="s">
        <v>34</v>
      </c>
    </row>
    <row r="38" spans="1:25" x14ac:dyDescent="0.3">
      <c r="A38">
        <v>37</v>
      </c>
      <c r="B38">
        <v>37</v>
      </c>
      <c r="C38">
        <v>41842631000135</v>
      </c>
      <c r="D38">
        <v>3</v>
      </c>
      <c r="E38" t="s">
        <v>1574</v>
      </c>
      <c r="F38">
        <v>3</v>
      </c>
      <c r="G38" t="s">
        <v>1611</v>
      </c>
      <c r="H38" t="str">
        <f t="shared" si="0"/>
        <v>REDE 3 - BANDEIRA 3 - LOJA 37</v>
      </c>
      <c r="I38">
        <v>1</v>
      </c>
      <c r="J38" t="s">
        <v>26</v>
      </c>
      <c r="K38">
        <v>1</v>
      </c>
      <c r="L38" t="s">
        <v>133</v>
      </c>
      <c r="M38">
        <v>3</v>
      </c>
      <c r="N38" t="s">
        <v>43</v>
      </c>
      <c r="O38">
        <v>3</v>
      </c>
      <c r="P38" t="s">
        <v>44</v>
      </c>
      <c r="Q38" t="s">
        <v>43</v>
      </c>
      <c r="R38">
        <v>2</v>
      </c>
      <c r="S38" t="s">
        <v>39</v>
      </c>
      <c r="T38" t="s">
        <v>134</v>
      </c>
      <c r="U38" s="1">
        <v>-229700566</v>
      </c>
      <c r="V38" s="1">
        <v>-431860331</v>
      </c>
      <c r="W38" t="s">
        <v>135</v>
      </c>
      <c r="X38">
        <v>1</v>
      </c>
      <c r="Y38" t="s">
        <v>34</v>
      </c>
    </row>
    <row r="39" spans="1:25" x14ac:dyDescent="0.3">
      <c r="A39">
        <v>38</v>
      </c>
      <c r="B39">
        <v>38</v>
      </c>
      <c r="C39">
        <v>34332264000164</v>
      </c>
      <c r="D39">
        <v>3</v>
      </c>
      <c r="E39" t="s">
        <v>1574</v>
      </c>
      <c r="F39">
        <v>3</v>
      </c>
      <c r="G39" t="s">
        <v>1611</v>
      </c>
      <c r="H39" t="str">
        <f t="shared" si="0"/>
        <v>REDE 3 - BANDEIRA 3 - LOJA 38</v>
      </c>
      <c r="I39">
        <v>1</v>
      </c>
      <c r="J39" t="s">
        <v>26</v>
      </c>
      <c r="K39">
        <v>1</v>
      </c>
      <c r="L39" t="s">
        <v>136</v>
      </c>
      <c r="M39">
        <v>4</v>
      </c>
      <c r="N39" t="s">
        <v>60</v>
      </c>
      <c r="O39">
        <v>4</v>
      </c>
      <c r="P39" t="s">
        <v>61</v>
      </c>
      <c r="Q39" t="s">
        <v>62</v>
      </c>
      <c r="R39">
        <v>3</v>
      </c>
      <c r="S39" t="s">
        <v>63</v>
      </c>
      <c r="T39" t="s">
        <v>137</v>
      </c>
      <c r="U39" s="1">
        <v>-15708703</v>
      </c>
      <c r="V39" s="1">
        <v>-479143751999999</v>
      </c>
      <c r="W39" t="s">
        <v>138</v>
      </c>
      <c r="X39">
        <v>1</v>
      </c>
      <c r="Y39" t="s">
        <v>34</v>
      </c>
    </row>
    <row r="40" spans="1:25" x14ac:dyDescent="0.3">
      <c r="A40">
        <v>39</v>
      </c>
      <c r="B40">
        <v>39</v>
      </c>
      <c r="C40">
        <v>44988631000136</v>
      </c>
      <c r="D40">
        <v>3</v>
      </c>
      <c r="E40" t="s">
        <v>1574</v>
      </c>
      <c r="F40">
        <v>3</v>
      </c>
      <c r="G40" t="s">
        <v>1611</v>
      </c>
      <c r="H40" t="str">
        <f t="shared" si="0"/>
        <v>REDE 3 - BANDEIRA 3 - LOJA 39</v>
      </c>
      <c r="I40">
        <v>1</v>
      </c>
      <c r="J40" t="s">
        <v>26</v>
      </c>
      <c r="K40">
        <v>1</v>
      </c>
      <c r="L40" t="s">
        <v>139</v>
      </c>
      <c r="M40">
        <v>3</v>
      </c>
      <c r="N40" t="s">
        <v>43</v>
      </c>
      <c r="O40">
        <v>3</v>
      </c>
      <c r="P40" t="s">
        <v>44</v>
      </c>
      <c r="Q40" t="s">
        <v>43</v>
      </c>
      <c r="R40">
        <v>2</v>
      </c>
      <c r="S40" t="s">
        <v>39</v>
      </c>
      <c r="T40" t="s">
        <v>140</v>
      </c>
      <c r="U40" s="1">
        <v>-229760857</v>
      </c>
      <c r="V40" s="1">
        <v>-432280035</v>
      </c>
      <c r="W40" t="s">
        <v>141</v>
      </c>
      <c r="X40">
        <v>1</v>
      </c>
      <c r="Y40" t="s">
        <v>34</v>
      </c>
    </row>
    <row r="41" spans="1:25" x14ac:dyDescent="0.3">
      <c r="A41">
        <v>40</v>
      </c>
      <c r="B41">
        <v>40</v>
      </c>
      <c r="C41">
        <v>32228095000191</v>
      </c>
      <c r="D41">
        <v>3</v>
      </c>
      <c r="E41" t="s">
        <v>1574</v>
      </c>
      <c r="F41">
        <v>3</v>
      </c>
      <c r="G41" t="s">
        <v>1611</v>
      </c>
      <c r="H41" t="str">
        <f t="shared" si="0"/>
        <v>REDE 3 - BANDEIRA 3 - LOJA 40</v>
      </c>
      <c r="I41">
        <v>1</v>
      </c>
      <c r="J41" t="s">
        <v>26</v>
      </c>
      <c r="K41">
        <v>1</v>
      </c>
      <c r="L41" t="s">
        <v>142</v>
      </c>
      <c r="M41">
        <v>4</v>
      </c>
      <c r="N41" t="s">
        <v>60</v>
      </c>
      <c r="O41">
        <v>4</v>
      </c>
      <c r="P41" t="s">
        <v>61</v>
      </c>
      <c r="Q41" t="s">
        <v>62</v>
      </c>
      <c r="R41">
        <v>3</v>
      </c>
      <c r="S41" t="s">
        <v>63</v>
      </c>
      <c r="T41" t="s">
        <v>143</v>
      </c>
      <c r="U41" s="1">
        <v>-158435089</v>
      </c>
      <c r="V41" s="1">
        <v>-478504629</v>
      </c>
      <c r="W41" t="s">
        <v>98</v>
      </c>
      <c r="X41">
        <v>1</v>
      </c>
      <c r="Y41" t="s">
        <v>34</v>
      </c>
    </row>
    <row r="42" spans="1:25" x14ac:dyDescent="0.3">
      <c r="A42">
        <v>41</v>
      </c>
      <c r="B42">
        <v>41</v>
      </c>
      <c r="C42">
        <v>37210316000118</v>
      </c>
      <c r="D42">
        <v>3</v>
      </c>
      <c r="E42" t="s">
        <v>1574</v>
      </c>
      <c r="F42">
        <v>3</v>
      </c>
      <c r="G42" t="s">
        <v>1611</v>
      </c>
      <c r="H42" t="str">
        <f t="shared" si="0"/>
        <v>REDE 3 - BANDEIRA 3 - LOJA 41</v>
      </c>
      <c r="I42">
        <v>1</v>
      </c>
      <c r="J42" t="s">
        <v>26</v>
      </c>
      <c r="K42">
        <v>1</v>
      </c>
      <c r="L42" t="s">
        <v>144</v>
      </c>
      <c r="M42">
        <v>4</v>
      </c>
      <c r="N42" t="s">
        <v>60</v>
      </c>
      <c r="O42">
        <v>4</v>
      </c>
      <c r="P42" t="s">
        <v>61</v>
      </c>
      <c r="Q42" t="s">
        <v>62</v>
      </c>
      <c r="R42">
        <v>3</v>
      </c>
      <c r="S42" t="s">
        <v>63</v>
      </c>
      <c r="T42" t="s">
        <v>145</v>
      </c>
      <c r="U42" s="1">
        <v>-158414353</v>
      </c>
      <c r="V42" s="1">
        <v>-479808813</v>
      </c>
      <c r="W42" t="s">
        <v>146</v>
      </c>
      <c r="X42">
        <v>1</v>
      </c>
      <c r="Y42" t="s">
        <v>34</v>
      </c>
    </row>
    <row r="43" spans="1:25" x14ac:dyDescent="0.3">
      <c r="A43">
        <v>42</v>
      </c>
      <c r="B43">
        <v>42</v>
      </c>
      <c r="C43">
        <v>40402049000195</v>
      </c>
      <c r="D43">
        <v>3</v>
      </c>
      <c r="E43" t="s">
        <v>1574</v>
      </c>
      <c r="F43">
        <v>3</v>
      </c>
      <c r="G43" t="s">
        <v>1611</v>
      </c>
      <c r="H43" t="str">
        <f t="shared" si="0"/>
        <v>REDE 3 - BANDEIRA 3 - LOJA 42</v>
      </c>
      <c r="I43">
        <v>1</v>
      </c>
      <c r="J43" t="s">
        <v>26</v>
      </c>
      <c r="K43">
        <v>1</v>
      </c>
      <c r="L43" t="s">
        <v>147</v>
      </c>
      <c r="M43">
        <v>4</v>
      </c>
      <c r="N43" t="s">
        <v>60</v>
      </c>
      <c r="O43">
        <v>4</v>
      </c>
      <c r="P43" t="s">
        <v>61</v>
      </c>
      <c r="Q43" t="s">
        <v>62</v>
      </c>
      <c r="R43">
        <v>3</v>
      </c>
      <c r="S43" t="s">
        <v>63</v>
      </c>
      <c r="T43" t="s">
        <v>148</v>
      </c>
      <c r="U43" s="1">
        <v>-15720786</v>
      </c>
      <c r="V43" s="1">
        <v>-47886049</v>
      </c>
      <c r="W43" t="s">
        <v>149</v>
      </c>
      <c r="X43">
        <v>1</v>
      </c>
      <c r="Y43" t="s">
        <v>34</v>
      </c>
    </row>
    <row r="44" spans="1:25" x14ac:dyDescent="0.3">
      <c r="A44">
        <v>43</v>
      </c>
      <c r="B44">
        <v>43</v>
      </c>
      <c r="C44">
        <v>28998464000158</v>
      </c>
      <c r="D44">
        <v>3</v>
      </c>
      <c r="E44" t="s">
        <v>1574</v>
      </c>
      <c r="F44">
        <v>3</v>
      </c>
      <c r="G44" t="s">
        <v>1611</v>
      </c>
      <c r="H44" t="str">
        <f t="shared" si="0"/>
        <v>REDE 3 - BANDEIRA 3 - LOJA 43</v>
      </c>
      <c r="I44">
        <v>1</v>
      </c>
      <c r="J44" t="s">
        <v>26</v>
      </c>
      <c r="K44">
        <v>1</v>
      </c>
      <c r="L44" t="s">
        <v>150</v>
      </c>
      <c r="M44">
        <v>3</v>
      </c>
      <c r="N44" t="s">
        <v>43</v>
      </c>
      <c r="O44">
        <v>3</v>
      </c>
      <c r="P44" t="s">
        <v>44</v>
      </c>
      <c r="Q44" t="s">
        <v>43</v>
      </c>
      <c r="R44">
        <v>2</v>
      </c>
      <c r="S44" t="s">
        <v>39</v>
      </c>
      <c r="T44" t="s">
        <v>151</v>
      </c>
      <c r="U44" s="1">
        <v>-229846855</v>
      </c>
      <c r="V44" s="1">
        <v>-431991839</v>
      </c>
      <c r="W44" t="s">
        <v>152</v>
      </c>
      <c r="X44">
        <v>1</v>
      </c>
      <c r="Y44" t="s">
        <v>34</v>
      </c>
    </row>
    <row r="45" spans="1:25" x14ac:dyDescent="0.3">
      <c r="A45">
        <v>44</v>
      </c>
      <c r="B45">
        <v>44</v>
      </c>
      <c r="C45">
        <v>32902931000171</v>
      </c>
      <c r="D45">
        <v>3</v>
      </c>
      <c r="E45" t="s">
        <v>1574</v>
      </c>
      <c r="F45">
        <v>3</v>
      </c>
      <c r="G45" t="s">
        <v>1611</v>
      </c>
      <c r="H45" t="str">
        <f t="shared" si="0"/>
        <v>REDE 3 - BANDEIRA 3 - LOJA 44</v>
      </c>
      <c r="I45">
        <v>1</v>
      </c>
      <c r="J45" t="s">
        <v>26</v>
      </c>
      <c r="K45">
        <v>1</v>
      </c>
      <c r="L45" t="s">
        <v>153</v>
      </c>
      <c r="M45">
        <v>3</v>
      </c>
      <c r="N45" t="s">
        <v>43</v>
      </c>
      <c r="O45">
        <v>3</v>
      </c>
      <c r="P45" t="s">
        <v>44</v>
      </c>
      <c r="Q45" t="s">
        <v>43</v>
      </c>
      <c r="R45">
        <v>2</v>
      </c>
      <c r="S45" t="s">
        <v>39</v>
      </c>
      <c r="T45" t="s">
        <v>154</v>
      </c>
      <c r="U45" s="1">
        <v>-229841031</v>
      </c>
      <c r="V45" s="1">
        <v>-432128421</v>
      </c>
      <c r="W45" t="s">
        <v>152</v>
      </c>
      <c r="X45">
        <v>1</v>
      </c>
      <c r="Y45" t="s">
        <v>34</v>
      </c>
    </row>
    <row r="46" spans="1:25" x14ac:dyDescent="0.3">
      <c r="A46">
        <v>45</v>
      </c>
      <c r="B46">
        <v>45</v>
      </c>
      <c r="C46">
        <v>39757193000165</v>
      </c>
      <c r="D46">
        <v>3</v>
      </c>
      <c r="E46" t="s">
        <v>1574</v>
      </c>
      <c r="F46">
        <v>3</v>
      </c>
      <c r="G46" t="s">
        <v>1611</v>
      </c>
      <c r="H46" t="str">
        <f t="shared" si="0"/>
        <v>REDE 3 - BANDEIRA 3 - LOJA 45</v>
      </c>
      <c r="I46">
        <v>1</v>
      </c>
      <c r="J46" t="s">
        <v>26</v>
      </c>
      <c r="K46">
        <v>1</v>
      </c>
      <c r="L46" t="s">
        <v>155</v>
      </c>
      <c r="M46">
        <v>2</v>
      </c>
      <c r="N46" t="s">
        <v>36</v>
      </c>
      <c r="O46">
        <v>2</v>
      </c>
      <c r="P46" t="s">
        <v>37</v>
      </c>
      <c r="Q46" t="s">
        <v>38</v>
      </c>
      <c r="R46">
        <v>2</v>
      </c>
      <c r="S46" t="s">
        <v>39</v>
      </c>
      <c r="T46" t="s">
        <v>156</v>
      </c>
      <c r="U46" s="1">
        <v>-235836253</v>
      </c>
      <c r="V46" s="1">
        <v>-46678317</v>
      </c>
      <c r="W46" t="s">
        <v>157</v>
      </c>
      <c r="X46">
        <v>1</v>
      </c>
      <c r="Y46" t="s">
        <v>34</v>
      </c>
    </row>
    <row r="47" spans="1:25" x14ac:dyDescent="0.3">
      <c r="A47">
        <v>46</v>
      </c>
      <c r="B47">
        <v>46</v>
      </c>
      <c r="C47">
        <v>28752532000102</v>
      </c>
      <c r="D47">
        <v>3</v>
      </c>
      <c r="E47" t="s">
        <v>1574</v>
      </c>
      <c r="F47">
        <v>3</v>
      </c>
      <c r="G47" t="s">
        <v>1611</v>
      </c>
      <c r="H47" t="str">
        <f t="shared" si="0"/>
        <v>REDE 3 - BANDEIRA 3 - LOJA 46</v>
      </c>
      <c r="I47">
        <v>1</v>
      </c>
      <c r="J47" t="s">
        <v>26</v>
      </c>
      <c r="K47">
        <v>1</v>
      </c>
      <c r="L47" t="s">
        <v>158</v>
      </c>
      <c r="M47">
        <v>4</v>
      </c>
      <c r="N47" t="s">
        <v>60</v>
      </c>
      <c r="O47">
        <v>4</v>
      </c>
      <c r="P47" t="s">
        <v>61</v>
      </c>
      <c r="Q47" t="s">
        <v>62</v>
      </c>
      <c r="R47">
        <v>3</v>
      </c>
      <c r="S47" t="s">
        <v>63</v>
      </c>
      <c r="T47" t="s">
        <v>159</v>
      </c>
      <c r="U47" s="1">
        <v>-157100214</v>
      </c>
      <c r="V47" s="1">
        <v>-479152029</v>
      </c>
      <c r="W47" t="s">
        <v>160</v>
      </c>
      <c r="X47">
        <v>1</v>
      </c>
      <c r="Y47" t="s">
        <v>34</v>
      </c>
    </row>
    <row r="48" spans="1:25" x14ac:dyDescent="0.3">
      <c r="A48">
        <v>47</v>
      </c>
      <c r="B48">
        <v>47</v>
      </c>
      <c r="C48">
        <v>43110562000109</v>
      </c>
      <c r="D48">
        <v>3</v>
      </c>
      <c r="E48" t="s">
        <v>1574</v>
      </c>
      <c r="F48">
        <v>3</v>
      </c>
      <c r="G48" t="s">
        <v>1611</v>
      </c>
      <c r="H48" t="str">
        <f t="shared" si="0"/>
        <v>REDE 3 - BANDEIRA 3 - LOJA 47</v>
      </c>
      <c r="I48">
        <v>1</v>
      </c>
      <c r="J48" t="s">
        <v>26</v>
      </c>
      <c r="K48">
        <v>1</v>
      </c>
      <c r="L48" t="s">
        <v>161</v>
      </c>
      <c r="M48">
        <v>2</v>
      </c>
      <c r="N48" t="s">
        <v>36</v>
      </c>
      <c r="O48">
        <v>2</v>
      </c>
      <c r="P48" t="s">
        <v>37</v>
      </c>
      <c r="Q48" t="s">
        <v>38</v>
      </c>
      <c r="R48">
        <v>2</v>
      </c>
      <c r="S48" t="s">
        <v>39</v>
      </c>
      <c r="T48" t="s">
        <v>162</v>
      </c>
      <c r="U48" s="1">
        <v>-235644</v>
      </c>
      <c r="V48" s="1">
        <v>-466650392</v>
      </c>
      <c r="W48" t="s">
        <v>163</v>
      </c>
      <c r="X48">
        <v>1</v>
      </c>
      <c r="Y48" t="s">
        <v>34</v>
      </c>
    </row>
    <row r="49" spans="1:25" x14ac:dyDescent="0.3">
      <c r="A49">
        <v>48</v>
      </c>
      <c r="B49">
        <v>48</v>
      </c>
      <c r="C49">
        <v>39249592000115</v>
      </c>
      <c r="D49">
        <v>3</v>
      </c>
      <c r="E49" t="s">
        <v>1574</v>
      </c>
      <c r="F49">
        <v>3</v>
      </c>
      <c r="G49" t="s">
        <v>1611</v>
      </c>
      <c r="H49" t="str">
        <f t="shared" si="0"/>
        <v>REDE 3 - BANDEIRA 3 - LOJA 48</v>
      </c>
      <c r="I49">
        <v>1</v>
      </c>
      <c r="J49" t="s">
        <v>26</v>
      </c>
      <c r="K49">
        <v>1</v>
      </c>
      <c r="L49" t="s">
        <v>164</v>
      </c>
      <c r="M49">
        <v>4</v>
      </c>
      <c r="N49" t="s">
        <v>60</v>
      </c>
      <c r="O49">
        <v>4</v>
      </c>
      <c r="P49" t="s">
        <v>61</v>
      </c>
      <c r="Q49" t="s">
        <v>62</v>
      </c>
      <c r="R49">
        <v>3</v>
      </c>
      <c r="S49" t="s">
        <v>63</v>
      </c>
      <c r="T49" t="s">
        <v>165</v>
      </c>
      <c r="U49" s="1">
        <v>-157645062</v>
      </c>
      <c r="V49" s="1">
        <v>-47891549</v>
      </c>
      <c r="W49" t="s">
        <v>98</v>
      </c>
      <c r="X49">
        <v>1</v>
      </c>
      <c r="Y49" t="s">
        <v>34</v>
      </c>
    </row>
    <row r="50" spans="1:25" x14ac:dyDescent="0.3">
      <c r="A50">
        <v>49</v>
      </c>
      <c r="B50">
        <v>49</v>
      </c>
      <c r="C50">
        <v>36533654000128</v>
      </c>
      <c r="D50">
        <v>3</v>
      </c>
      <c r="E50" t="s">
        <v>1574</v>
      </c>
      <c r="F50">
        <v>3</v>
      </c>
      <c r="G50" t="s">
        <v>1611</v>
      </c>
      <c r="H50" t="str">
        <f t="shared" si="0"/>
        <v>REDE 3 - BANDEIRA 3 - LOJA 49</v>
      </c>
      <c r="I50">
        <v>1</v>
      </c>
      <c r="J50" t="s">
        <v>26</v>
      </c>
      <c r="K50">
        <v>1</v>
      </c>
      <c r="L50" t="s">
        <v>166</v>
      </c>
      <c r="M50">
        <v>3</v>
      </c>
      <c r="N50" t="s">
        <v>43</v>
      </c>
      <c r="O50">
        <v>3</v>
      </c>
      <c r="P50" t="s">
        <v>44</v>
      </c>
      <c r="Q50" t="s">
        <v>43</v>
      </c>
      <c r="R50">
        <v>2</v>
      </c>
      <c r="S50" t="s">
        <v>39</v>
      </c>
      <c r="T50" t="s">
        <v>167</v>
      </c>
      <c r="U50" s="1">
        <v>-229845312</v>
      </c>
      <c r="V50" s="1">
        <v>-432227995</v>
      </c>
      <c r="W50" t="s">
        <v>168</v>
      </c>
      <c r="X50">
        <v>1</v>
      </c>
      <c r="Y50" t="s">
        <v>34</v>
      </c>
    </row>
    <row r="51" spans="1:25" x14ac:dyDescent="0.3">
      <c r="A51">
        <v>50</v>
      </c>
      <c r="B51">
        <v>50</v>
      </c>
      <c r="C51">
        <v>25045835000199</v>
      </c>
      <c r="D51">
        <v>3</v>
      </c>
      <c r="E51" t="s">
        <v>1574</v>
      </c>
      <c r="F51">
        <v>3</v>
      </c>
      <c r="G51" t="s">
        <v>1611</v>
      </c>
      <c r="H51" t="str">
        <f t="shared" si="0"/>
        <v>REDE 3 - BANDEIRA 3 - LOJA 50</v>
      </c>
      <c r="I51">
        <v>1</v>
      </c>
      <c r="J51" t="s">
        <v>26</v>
      </c>
      <c r="K51">
        <v>1</v>
      </c>
      <c r="L51" t="s">
        <v>169</v>
      </c>
      <c r="M51">
        <v>4</v>
      </c>
      <c r="N51" t="s">
        <v>60</v>
      </c>
      <c r="O51">
        <v>4</v>
      </c>
      <c r="P51" t="s">
        <v>61</v>
      </c>
      <c r="Q51" t="s">
        <v>62</v>
      </c>
      <c r="R51">
        <v>3</v>
      </c>
      <c r="S51" t="s">
        <v>63</v>
      </c>
      <c r="T51" t="s">
        <v>170</v>
      </c>
      <c r="U51" s="1">
        <v>-15708703</v>
      </c>
      <c r="V51" s="1">
        <v>-479143751999999</v>
      </c>
      <c r="W51" t="s">
        <v>65</v>
      </c>
      <c r="X51">
        <v>1</v>
      </c>
      <c r="Y51" t="s">
        <v>34</v>
      </c>
    </row>
    <row r="52" spans="1:25" x14ac:dyDescent="0.3">
      <c r="A52">
        <v>51</v>
      </c>
      <c r="B52">
        <v>51</v>
      </c>
      <c r="C52">
        <v>37248435000160</v>
      </c>
      <c r="D52">
        <v>3</v>
      </c>
      <c r="E52" t="s">
        <v>1574</v>
      </c>
      <c r="F52">
        <v>3</v>
      </c>
      <c r="G52" t="s">
        <v>1611</v>
      </c>
      <c r="H52" t="str">
        <f t="shared" si="0"/>
        <v>REDE 3 - BANDEIRA 3 - LOJA 51</v>
      </c>
      <c r="I52">
        <v>1</v>
      </c>
      <c r="J52" t="s">
        <v>26</v>
      </c>
      <c r="K52">
        <v>1</v>
      </c>
      <c r="L52" t="s">
        <v>171</v>
      </c>
      <c r="M52">
        <v>4</v>
      </c>
      <c r="N52" t="s">
        <v>60</v>
      </c>
      <c r="O52">
        <v>4</v>
      </c>
      <c r="P52" t="s">
        <v>61</v>
      </c>
      <c r="Q52" t="s">
        <v>62</v>
      </c>
      <c r="R52">
        <v>3</v>
      </c>
      <c r="S52" t="s">
        <v>63</v>
      </c>
      <c r="T52" t="s">
        <v>172</v>
      </c>
      <c r="U52" s="1">
        <v>-157429483</v>
      </c>
      <c r="V52" s="1">
        <v>-479129177</v>
      </c>
      <c r="W52" t="s">
        <v>173</v>
      </c>
      <c r="X52">
        <v>1</v>
      </c>
      <c r="Y52" t="s">
        <v>34</v>
      </c>
    </row>
    <row r="53" spans="1:25" x14ac:dyDescent="0.3">
      <c r="A53">
        <v>52</v>
      </c>
      <c r="B53">
        <v>52</v>
      </c>
      <c r="C53">
        <v>35536055000103</v>
      </c>
      <c r="D53">
        <v>3</v>
      </c>
      <c r="E53" t="s">
        <v>1574</v>
      </c>
      <c r="F53">
        <v>3</v>
      </c>
      <c r="G53" t="s">
        <v>1611</v>
      </c>
      <c r="H53" t="str">
        <f t="shared" si="0"/>
        <v>REDE 3 - BANDEIRA 3 - LOJA 52</v>
      </c>
      <c r="I53">
        <v>1</v>
      </c>
      <c r="J53" t="s">
        <v>26</v>
      </c>
      <c r="K53">
        <v>1</v>
      </c>
      <c r="L53" t="s">
        <v>174</v>
      </c>
      <c r="M53">
        <v>4</v>
      </c>
      <c r="N53" t="s">
        <v>60</v>
      </c>
      <c r="O53">
        <v>4</v>
      </c>
      <c r="P53" t="s">
        <v>61</v>
      </c>
      <c r="Q53" t="s">
        <v>62</v>
      </c>
      <c r="R53">
        <v>3</v>
      </c>
      <c r="S53" t="s">
        <v>63</v>
      </c>
      <c r="T53" t="s">
        <v>175</v>
      </c>
      <c r="U53" s="1">
        <v>-1.57869271456861E+16</v>
      </c>
      <c r="V53" s="1">
        <v>-4.7888848168113904E+16</v>
      </c>
      <c r="W53" t="s">
        <v>65</v>
      </c>
      <c r="X53">
        <v>1</v>
      </c>
      <c r="Y53" t="s">
        <v>34</v>
      </c>
    </row>
    <row r="54" spans="1:25" x14ac:dyDescent="0.3">
      <c r="A54">
        <v>53</v>
      </c>
      <c r="B54">
        <v>53</v>
      </c>
      <c r="C54">
        <v>31651861000163</v>
      </c>
      <c r="D54">
        <v>3</v>
      </c>
      <c r="E54" t="s">
        <v>1574</v>
      </c>
      <c r="F54">
        <v>3</v>
      </c>
      <c r="G54" t="s">
        <v>1611</v>
      </c>
      <c r="H54" t="str">
        <f t="shared" si="0"/>
        <v>REDE 3 - BANDEIRA 3 - LOJA 53</v>
      </c>
      <c r="I54">
        <v>1</v>
      </c>
      <c r="J54" t="s">
        <v>26</v>
      </c>
      <c r="K54">
        <v>1</v>
      </c>
      <c r="L54" t="s">
        <v>176</v>
      </c>
      <c r="M54">
        <v>4</v>
      </c>
      <c r="N54" t="s">
        <v>60</v>
      </c>
      <c r="O54">
        <v>4</v>
      </c>
      <c r="P54" t="s">
        <v>61</v>
      </c>
      <c r="Q54" t="s">
        <v>62</v>
      </c>
      <c r="R54">
        <v>3</v>
      </c>
      <c r="S54" t="s">
        <v>63</v>
      </c>
      <c r="T54" t="s">
        <v>177</v>
      </c>
      <c r="U54" s="1">
        <v>-15755354</v>
      </c>
      <c r="V54" s="1">
        <v>-478945065</v>
      </c>
      <c r="W54" t="s">
        <v>178</v>
      </c>
      <c r="X54">
        <v>1</v>
      </c>
      <c r="Y54" t="s">
        <v>34</v>
      </c>
    </row>
    <row r="55" spans="1:25" x14ac:dyDescent="0.3">
      <c r="A55">
        <v>54</v>
      </c>
      <c r="B55">
        <v>54</v>
      </c>
      <c r="C55">
        <v>41811074000195</v>
      </c>
      <c r="D55">
        <v>3</v>
      </c>
      <c r="E55" t="s">
        <v>1574</v>
      </c>
      <c r="F55">
        <v>3</v>
      </c>
      <c r="G55" t="s">
        <v>1611</v>
      </c>
      <c r="H55" t="str">
        <f t="shared" si="0"/>
        <v>REDE 3 - BANDEIRA 3 - LOJA 54</v>
      </c>
      <c r="I55">
        <v>1</v>
      </c>
      <c r="J55" t="s">
        <v>26</v>
      </c>
      <c r="K55">
        <v>1</v>
      </c>
      <c r="L55" t="s">
        <v>179</v>
      </c>
      <c r="M55">
        <v>2</v>
      </c>
      <c r="N55" t="s">
        <v>36</v>
      </c>
      <c r="O55">
        <v>2</v>
      </c>
      <c r="P55" t="s">
        <v>37</v>
      </c>
      <c r="Q55" t="s">
        <v>38</v>
      </c>
      <c r="R55">
        <v>2</v>
      </c>
      <c r="S55" t="s">
        <v>39</v>
      </c>
      <c r="T55" t="s">
        <v>180</v>
      </c>
      <c r="U55" s="1">
        <v>-235890009</v>
      </c>
      <c r="V55" s="1">
        <v>-466185051</v>
      </c>
      <c r="W55" t="s">
        <v>181</v>
      </c>
      <c r="X55">
        <v>1</v>
      </c>
      <c r="Y55" t="s">
        <v>34</v>
      </c>
    </row>
    <row r="56" spans="1:25" x14ac:dyDescent="0.3">
      <c r="A56">
        <v>55</v>
      </c>
      <c r="B56">
        <v>55</v>
      </c>
      <c r="C56">
        <v>41963831000146</v>
      </c>
      <c r="D56">
        <v>3</v>
      </c>
      <c r="E56" t="s">
        <v>1574</v>
      </c>
      <c r="F56">
        <v>3</v>
      </c>
      <c r="G56" t="s">
        <v>1611</v>
      </c>
      <c r="H56" t="str">
        <f t="shared" si="0"/>
        <v>REDE 3 - BANDEIRA 3 - LOJA 55</v>
      </c>
      <c r="I56">
        <v>1</v>
      </c>
      <c r="J56" t="s">
        <v>26</v>
      </c>
      <c r="K56">
        <v>1</v>
      </c>
      <c r="L56" t="s">
        <v>182</v>
      </c>
      <c r="M56">
        <v>4</v>
      </c>
      <c r="N56" t="s">
        <v>60</v>
      </c>
      <c r="O56">
        <v>4</v>
      </c>
      <c r="P56" t="s">
        <v>61</v>
      </c>
      <c r="Q56" t="s">
        <v>62</v>
      </c>
      <c r="R56">
        <v>3</v>
      </c>
      <c r="S56" t="s">
        <v>63</v>
      </c>
      <c r="T56" t="s">
        <v>74</v>
      </c>
      <c r="U56" s="1">
        <v>-15833027</v>
      </c>
      <c r="V56" s="1">
        <v>-48039716</v>
      </c>
      <c r="W56" t="s">
        <v>75</v>
      </c>
      <c r="X56">
        <v>1</v>
      </c>
      <c r="Y56" t="s">
        <v>34</v>
      </c>
    </row>
    <row r="57" spans="1:25" x14ac:dyDescent="0.3">
      <c r="A57">
        <v>56</v>
      </c>
      <c r="B57">
        <v>56</v>
      </c>
      <c r="C57">
        <v>37282226000132</v>
      </c>
      <c r="D57">
        <v>3</v>
      </c>
      <c r="E57" t="s">
        <v>1574</v>
      </c>
      <c r="F57">
        <v>3</v>
      </c>
      <c r="G57" t="s">
        <v>1611</v>
      </c>
      <c r="H57" t="str">
        <f t="shared" si="0"/>
        <v>REDE 3 - BANDEIRA 3 - LOJA 56</v>
      </c>
      <c r="I57">
        <v>1</v>
      </c>
      <c r="J57" t="s">
        <v>26</v>
      </c>
      <c r="K57">
        <v>1</v>
      </c>
      <c r="L57" t="s">
        <v>183</v>
      </c>
      <c r="M57">
        <v>4</v>
      </c>
      <c r="N57" t="s">
        <v>60</v>
      </c>
      <c r="O57">
        <v>4</v>
      </c>
      <c r="P57" t="s">
        <v>61</v>
      </c>
      <c r="Q57" t="s">
        <v>62</v>
      </c>
      <c r="R57">
        <v>3</v>
      </c>
      <c r="S57" t="s">
        <v>63</v>
      </c>
      <c r="T57" t="s">
        <v>119</v>
      </c>
      <c r="U57" s="1">
        <v>-15734275</v>
      </c>
      <c r="V57" s="1">
        <v>-47900602</v>
      </c>
      <c r="W57" t="s">
        <v>65</v>
      </c>
      <c r="X57">
        <v>1</v>
      </c>
      <c r="Y57" t="s">
        <v>34</v>
      </c>
    </row>
    <row r="58" spans="1:25" x14ac:dyDescent="0.3">
      <c r="A58">
        <v>57</v>
      </c>
      <c r="B58">
        <v>57</v>
      </c>
      <c r="C58">
        <v>51020582000109</v>
      </c>
      <c r="D58">
        <v>3</v>
      </c>
      <c r="E58" t="s">
        <v>1574</v>
      </c>
      <c r="F58">
        <v>3</v>
      </c>
      <c r="G58" t="s">
        <v>1611</v>
      </c>
      <c r="H58" t="str">
        <f t="shared" si="0"/>
        <v>REDE 3 - BANDEIRA 3 - LOJA 57</v>
      </c>
      <c r="I58">
        <v>1</v>
      </c>
      <c r="J58" t="s">
        <v>26</v>
      </c>
      <c r="K58">
        <v>1</v>
      </c>
      <c r="L58" t="s">
        <v>184</v>
      </c>
      <c r="M58">
        <v>1</v>
      </c>
      <c r="N58" t="s">
        <v>28</v>
      </c>
      <c r="O58">
        <v>1</v>
      </c>
      <c r="P58" t="s">
        <v>29</v>
      </c>
      <c r="Q58" t="s">
        <v>30</v>
      </c>
      <c r="R58">
        <v>1</v>
      </c>
      <c r="S58" t="s">
        <v>31</v>
      </c>
      <c r="T58" t="s">
        <v>185</v>
      </c>
      <c r="U58" s="1">
        <v>-254351398</v>
      </c>
      <c r="V58" s="1">
        <v>-493167883</v>
      </c>
      <c r="W58" t="s">
        <v>186</v>
      </c>
      <c r="X58">
        <v>1</v>
      </c>
      <c r="Y58" t="s">
        <v>34</v>
      </c>
    </row>
    <row r="59" spans="1:25" x14ac:dyDescent="0.3">
      <c r="A59">
        <v>58</v>
      </c>
      <c r="B59">
        <v>58</v>
      </c>
      <c r="C59">
        <v>32752616000105</v>
      </c>
      <c r="D59">
        <v>3</v>
      </c>
      <c r="E59" t="s">
        <v>1574</v>
      </c>
      <c r="F59">
        <v>3</v>
      </c>
      <c r="G59" t="s">
        <v>1611</v>
      </c>
      <c r="H59" t="str">
        <f t="shared" si="0"/>
        <v>REDE 3 - BANDEIRA 3 - LOJA 58</v>
      </c>
      <c r="I59">
        <v>1</v>
      </c>
      <c r="J59" t="s">
        <v>26</v>
      </c>
      <c r="K59">
        <v>1</v>
      </c>
      <c r="L59" t="s">
        <v>187</v>
      </c>
      <c r="M59">
        <v>4</v>
      </c>
      <c r="N59" t="s">
        <v>60</v>
      </c>
      <c r="O59">
        <v>4</v>
      </c>
      <c r="P59" t="s">
        <v>61</v>
      </c>
      <c r="Q59" t="s">
        <v>62</v>
      </c>
      <c r="R59">
        <v>3</v>
      </c>
      <c r="S59" t="s">
        <v>63</v>
      </c>
      <c r="T59" t="s">
        <v>188</v>
      </c>
      <c r="U59" s="1">
        <v>-157975154</v>
      </c>
      <c r="V59" s="1">
        <v>-478918873999999</v>
      </c>
      <c r="W59" t="s">
        <v>189</v>
      </c>
      <c r="X59">
        <v>1</v>
      </c>
      <c r="Y59" t="s">
        <v>34</v>
      </c>
    </row>
    <row r="60" spans="1:25" x14ac:dyDescent="0.3">
      <c r="A60">
        <v>59</v>
      </c>
      <c r="B60">
        <v>59</v>
      </c>
      <c r="C60">
        <v>29405809000185</v>
      </c>
      <c r="D60">
        <v>3</v>
      </c>
      <c r="E60" t="s">
        <v>1574</v>
      </c>
      <c r="F60">
        <v>3</v>
      </c>
      <c r="G60" t="s">
        <v>1611</v>
      </c>
      <c r="H60" t="str">
        <f t="shared" si="0"/>
        <v>REDE 3 - BANDEIRA 3 - LOJA 59</v>
      </c>
      <c r="I60">
        <v>1</v>
      </c>
      <c r="J60" t="s">
        <v>26</v>
      </c>
      <c r="K60">
        <v>1</v>
      </c>
      <c r="L60" t="s">
        <v>190</v>
      </c>
      <c r="M60">
        <v>4</v>
      </c>
      <c r="N60" t="s">
        <v>60</v>
      </c>
      <c r="O60">
        <v>4</v>
      </c>
      <c r="P60" t="s">
        <v>61</v>
      </c>
      <c r="Q60" t="s">
        <v>62</v>
      </c>
      <c r="R60">
        <v>3</v>
      </c>
      <c r="S60" t="s">
        <v>63</v>
      </c>
      <c r="T60" t="s">
        <v>191</v>
      </c>
      <c r="U60" s="1">
        <v>-158011409</v>
      </c>
      <c r="V60" s="1">
        <v>-479265003</v>
      </c>
      <c r="W60" t="s">
        <v>95</v>
      </c>
      <c r="X60">
        <v>1</v>
      </c>
      <c r="Y60" t="s">
        <v>34</v>
      </c>
    </row>
    <row r="61" spans="1:25" x14ac:dyDescent="0.3">
      <c r="A61">
        <v>60</v>
      </c>
      <c r="B61">
        <v>60</v>
      </c>
      <c r="C61">
        <v>29356181000175</v>
      </c>
      <c r="D61">
        <v>3</v>
      </c>
      <c r="E61" t="s">
        <v>1574</v>
      </c>
      <c r="F61">
        <v>3</v>
      </c>
      <c r="G61" t="s">
        <v>1611</v>
      </c>
      <c r="H61" t="str">
        <f t="shared" si="0"/>
        <v>REDE 3 - BANDEIRA 3 - LOJA 60</v>
      </c>
      <c r="I61">
        <v>1</v>
      </c>
      <c r="J61" t="s">
        <v>26</v>
      </c>
      <c r="K61">
        <v>1</v>
      </c>
      <c r="L61" t="s">
        <v>192</v>
      </c>
      <c r="M61">
        <v>4</v>
      </c>
      <c r="N61" t="s">
        <v>60</v>
      </c>
      <c r="O61">
        <v>4</v>
      </c>
      <c r="P61" t="s">
        <v>61</v>
      </c>
      <c r="Q61" t="s">
        <v>62</v>
      </c>
      <c r="R61">
        <v>3</v>
      </c>
      <c r="S61" t="s">
        <v>63</v>
      </c>
      <c r="T61" t="s">
        <v>193</v>
      </c>
      <c r="U61" s="1">
        <v>-1.58414927720628E+16</v>
      </c>
      <c r="V61" s="1">
        <v>-4804345027550740</v>
      </c>
      <c r="W61" t="s">
        <v>194</v>
      </c>
      <c r="X61">
        <v>1</v>
      </c>
      <c r="Y61" t="s">
        <v>34</v>
      </c>
    </row>
    <row r="62" spans="1:25" x14ac:dyDescent="0.3">
      <c r="A62">
        <v>61</v>
      </c>
      <c r="B62">
        <v>61</v>
      </c>
      <c r="C62">
        <v>29094478000100</v>
      </c>
      <c r="D62">
        <v>3</v>
      </c>
      <c r="E62" t="s">
        <v>1574</v>
      </c>
      <c r="F62">
        <v>3</v>
      </c>
      <c r="G62" t="s">
        <v>1611</v>
      </c>
      <c r="H62" t="str">
        <f t="shared" si="0"/>
        <v>REDE 3 - BANDEIRA 3 - LOJA 61</v>
      </c>
      <c r="I62">
        <v>1</v>
      </c>
      <c r="J62" t="s">
        <v>26</v>
      </c>
      <c r="K62">
        <v>1</v>
      </c>
      <c r="L62" t="s">
        <v>195</v>
      </c>
      <c r="M62">
        <v>4</v>
      </c>
      <c r="N62" t="s">
        <v>60</v>
      </c>
      <c r="O62">
        <v>4</v>
      </c>
      <c r="P62" t="s">
        <v>61</v>
      </c>
      <c r="Q62" t="s">
        <v>62</v>
      </c>
      <c r="R62">
        <v>3</v>
      </c>
      <c r="S62" t="s">
        <v>63</v>
      </c>
      <c r="T62" t="s">
        <v>196</v>
      </c>
      <c r="U62" s="1">
        <v>-158057612</v>
      </c>
      <c r="V62" s="1">
        <v>-479427618</v>
      </c>
      <c r="W62" t="s">
        <v>197</v>
      </c>
      <c r="X62">
        <v>1</v>
      </c>
      <c r="Y62" t="s">
        <v>34</v>
      </c>
    </row>
    <row r="63" spans="1:25" x14ac:dyDescent="0.3">
      <c r="A63">
        <v>62</v>
      </c>
      <c r="B63">
        <v>62</v>
      </c>
      <c r="C63">
        <v>39953654000175</v>
      </c>
      <c r="D63">
        <v>3</v>
      </c>
      <c r="E63" t="s">
        <v>1574</v>
      </c>
      <c r="F63">
        <v>3</v>
      </c>
      <c r="G63" t="s">
        <v>1611</v>
      </c>
      <c r="H63" t="str">
        <f t="shared" si="0"/>
        <v>REDE 3 - BANDEIRA 3 - LOJA 62</v>
      </c>
      <c r="I63">
        <v>1</v>
      </c>
      <c r="J63" t="s">
        <v>26</v>
      </c>
      <c r="K63">
        <v>1</v>
      </c>
      <c r="L63" t="s">
        <v>198</v>
      </c>
      <c r="M63">
        <v>3</v>
      </c>
      <c r="N63" t="s">
        <v>43</v>
      </c>
      <c r="O63">
        <v>3</v>
      </c>
      <c r="P63" t="s">
        <v>44</v>
      </c>
      <c r="Q63" t="s">
        <v>43</v>
      </c>
      <c r="R63">
        <v>2</v>
      </c>
      <c r="S63" t="s">
        <v>39</v>
      </c>
      <c r="T63" t="s">
        <v>199</v>
      </c>
      <c r="U63" s="1">
        <v>-229237557</v>
      </c>
      <c r="V63" s="1">
        <v>-432354906</v>
      </c>
      <c r="W63" t="s">
        <v>200</v>
      </c>
      <c r="X63">
        <v>1</v>
      </c>
      <c r="Y63" t="s">
        <v>34</v>
      </c>
    </row>
    <row r="64" spans="1:25" x14ac:dyDescent="0.3">
      <c r="A64">
        <v>63</v>
      </c>
      <c r="B64">
        <v>63</v>
      </c>
      <c r="C64">
        <v>32236371000163</v>
      </c>
      <c r="D64">
        <v>3</v>
      </c>
      <c r="E64" t="s">
        <v>1574</v>
      </c>
      <c r="F64">
        <v>3</v>
      </c>
      <c r="G64" t="s">
        <v>1611</v>
      </c>
      <c r="H64" t="str">
        <f t="shared" si="0"/>
        <v>REDE 3 - BANDEIRA 3 - LOJA 63</v>
      </c>
      <c r="I64">
        <v>1</v>
      </c>
      <c r="J64" t="s">
        <v>26</v>
      </c>
      <c r="K64">
        <v>1</v>
      </c>
      <c r="L64" t="s">
        <v>201</v>
      </c>
      <c r="M64">
        <v>4</v>
      </c>
      <c r="N64" t="s">
        <v>60</v>
      </c>
      <c r="O64">
        <v>4</v>
      </c>
      <c r="P64" t="s">
        <v>61</v>
      </c>
      <c r="Q64" t="s">
        <v>62</v>
      </c>
      <c r="R64">
        <v>3</v>
      </c>
      <c r="S64" t="s">
        <v>63</v>
      </c>
      <c r="T64" t="s">
        <v>85</v>
      </c>
      <c r="U64" s="1">
        <v>-158025326</v>
      </c>
      <c r="V64" s="1">
        <v>-479655481</v>
      </c>
      <c r="W64" t="s">
        <v>86</v>
      </c>
      <c r="X64">
        <v>1</v>
      </c>
      <c r="Y64" t="s">
        <v>34</v>
      </c>
    </row>
    <row r="65" spans="1:25" x14ac:dyDescent="0.3">
      <c r="A65">
        <v>64</v>
      </c>
      <c r="B65">
        <v>64</v>
      </c>
      <c r="C65">
        <v>34467389000100</v>
      </c>
      <c r="D65">
        <v>3</v>
      </c>
      <c r="E65" t="s">
        <v>1574</v>
      </c>
      <c r="F65">
        <v>3</v>
      </c>
      <c r="G65" t="s">
        <v>1611</v>
      </c>
      <c r="H65" t="str">
        <f t="shared" si="0"/>
        <v>REDE 3 - BANDEIRA 3 - LOJA 64</v>
      </c>
      <c r="I65">
        <v>1</v>
      </c>
      <c r="J65" t="s">
        <v>26</v>
      </c>
      <c r="K65">
        <v>1</v>
      </c>
      <c r="L65" t="s">
        <v>202</v>
      </c>
      <c r="M65">
        <v>3</v>
      </c>
      <c r="N65" t="s">
        <v>43</v>
      </c>
      <c r="O65">
        <v>3</v>
      </c>
      <c r="P65" t="s">
        <v>44</v>
      </c>
      <c r="Q65" t="s">
        <v>43</v>
      </c>
      <c r="R65">
        <v>2</v>
      </c>
      <c r="S65" t="s">
        <v>39</v>
      </c>
      <c r="T65" t="s">
        <v>203</v>
      </c>
      <c r="U65" s="1">
        <v>-229828496</v>
      </c>
      <c r="V65" s="1">
        <v>-433653116</v>
      </c>
      <c r="W65" t="s">
        <v>115</v>
      </c>
      <c r="X65">
        <v>1</v>
      </c>
      <c r="Y65" t="s">
        <v>34</v>
      </c>
    </row>
    <row r="66" spans="1:25" x14ac:dyDescent="0.3">
      <c r="A66">
        <v>65</v>
      </c>
      <c r="B66">
        <v>65</v>
      </c>
      <c r="C66">
        <v>39573287000184</v>
      </c>
      <c r="D66">
        <v>3</v>
      </c>
      <c r="E66" t="s">
        <v>1574</v>
      </c>
      <c r="F66">
        <v>3</v>
      </c>
      <c r="G66" t="s">
        <v>1611</v>
      </c>
      <c r="H66" t="str">
        <f t="shared" si="0"/>
        <v>REDE 3 - BANDEIRA 3 - LOJA 65</v>
      </c>
      <c r="I66">
        <v>1</v>
      </c>
      <c r="J66" t="s">
        <v>26</v>
      </c>
      <c r="K66">
        <v>1</v>
      </c>
      <c r="L66" t="s">
        <v>204</v>
      </c>
      <c r="M66">
        <v>4</v>
      </c>
      <c r="N66" t="s">
        <v>60</v>
      </c>
      <c r="O66">
        <v>4</v>
      </c>
      <c r="P66" t="s">
        <v>61</v>
      </c>
      <c r="Q66" t="s">
        <v>62</v>
      </c>
      <c r="R66">
        <v>3</v>
      </c>
      <c r="S66" t="s">
        <v>63</v>
      </c>
      <c r="T66" t="s">
        <v>205</v>
      </c>
      <c r="U66" s="1">
        <v>-157975154</v>
      </c>
      <c r="V66" s="1">
        <v>-478918873999999</v>
      </c>
      <c r="W66" t="s">
        <v>206</v>
      </c>
      <c r="X66">
        <v>1</v>
      </c>
      <c r="Y66" t="s">
        <v>34</v>
      </c>
    </row>
    <row r="67" spans="1:25" x14ac:dyDescent="0.3">
      <c r="A67">
        <v>66</v>
      </c>
      <c r="B67">
        <v>66</v>
      </c>
      <c r="C67">
        <v>24604760000176</v>
      </c>
      <c r="D67">
        <v>4</v>
      </c>
      <c r="E67" t="s">
        <v>1575</v>
      </c>
      <c r="F67">
        <v>4</v>
      </c>
      <c r="G67" t="s">
        <v>1612</v>
      </c>
      <c r="H67" t="str">
        <f t="shared" ref="H67:H130" si="1">G67 &amp; " - "&amp; E67 &amp;" - LOJA " &amp;B67</f>
        <v>REDE 4 - BANDEIRA 4 - LOJA 66</v>
      </c>
      <c r="I67">
        <v>1</v>
      </c>
      <c r="J67" t="s">
        <v>26</v>
      </c>
      <c r="K67">
        <v>2</v>
      </c>
      <c r="L67" t="s">
        <v>207</v>
      </c>
      <c r="M67">
        <v>3</v>
      </c>
      <c r="N67" t="s">
        <v>43</v>
      </c>
      <c r="O67">
        <v>3</v>
      </c>
      <c r="P67" t="s">
        <v>44</v>
      </c>
      <c r="Q67" t="s">
        <v>43</v>
      </c>
      <c r="R67">
        <v>2</v>
      </c>
      <c r="S67" t="s">
        <v>39</v>
      </c>
      <c r="T67" t="s">
        <v>208</v>
      </c>
      <c r="U67" s="1">
        <v>-229461166</v>
      </c>
      <c r="V67" s="1">
        <v>-433452315</v>
      </c>
      <c r="W67" t="s">
        <v>209</v>
      </c>
      <c r="X67">
        <v>1</v>
      </c>
      <c r="Y67" t="s">
        <v>34</v>
      </c>
    </row>
    <row r="68" spans="1:25" x14ac:dyDescent="0.3">
      <c r="A68">
        <v>67</v>
      </c>
      <c r="B68">
        <v>67</v>
      </c>
      <c r="C68">
        <v>28176638000105</v>
      </c>
      <c r="D68">
        <v>4</v>
      </c>
      <c r="E68" t="s">
        <v>1575</v>
      </c>
      <c r="F68">
        <v>4</v>
      </c>
      <c r="G68" t="s">
        <v>1612</v>
      </c>
      <c r="H68" t="str">
        <f t="shared" si="1"/>
        <v>REDE 4 - BANDEIRA 4 - LOJA 67</v>
      </c>
      <c r="I68">
        <v>1</v>
      </c>
      <c r="J68" t="s">
        <v>26</v>
      </c>
      <c r="K68">
        <v>2</v>
      </c>
      <c r="L68" t="s">
        <v>210</v>
      </c>
      <c r="M68">
        <v>3</v>
      </c>
      <c r="N68" t="s">
        <v>43</v>
      </c>
      <c r="O68">
        <v>3</v>
      </c>
      <c r="P68" t="s">
        <v>44</v>
      </c>
      <c r="Q68" t="s">
        <v>43</v>
      </c>
      <c r="R68">
        <v>2</v>
      </c>
      <c r="S68" t="s">
        <v>39</v>
      </c>
      <c r="T68" t="s">
        <v>211</v>
      </c>
      <c r="U68" s="1">
        <v>-229274306</v>
      </c>
      <c r="V68" s="1">
        <v>-432393755</v>
      </c>
      <c r="W68" t="s">
        <v>200</v>
      </c>
      <c r="X68">
        <v>1</v>
      </c>
      <c r="Y68" t="s">
        <v>34</v>
      </c>
    </row>
    <row r="69" spans="1:25" x14ac:dyDescent="0.3">
      <c r="A69">
        <v>68</v>
      </c>
      <c r="B69">
        <v>68</v>
      </c>
      <c r="C69">
        <v>4894185000852</v>
      </c>
      <c r="D69">
        <v>5</v>
      </c>
      <c r="E69" t="s">
        <v>1576</v>
      </c>
      <c r="F69">
        <v>5</v>
      </c>
      <c r="G69" t="s">
        <v>1613</v>
      </c>
      <c r="H69" t="str">
        <f t="shared" si="1"/>
        <v>REDE 5 - BANDEIRA 5 - LOJA 68</v>
      </c>
      <c r="I69">
        <v>1</v>
      </c>
      <c r="J69" t="s">
        <v>26</v>
      </c>
      <c r="K69">
        <v>2</v>
      </c>
      <c r="L69" t="s">
        <v>212</v>
      </c>
      <c r="M69">
        <v>1</v>
      </c>
      <c r="N69" t="s">
        <v>28</v>
      </c>
      <c r="O69">
        <v>1</v>
      </c>
      <c r="P69" t="s">
        <v>29</v>
      </c>
      <c r="Q69" t="s">
        <v>30</v>
      </c>
      <c r="R69">
        <v>1</v>
      </c>
      <c r="S69" t="s">
        <v>31</v>
      </c>
      <c r="T69" t="s">
        <v>213</v>
      </c>
      <c r="U69" s="1">
        <v>-25428732</v>
      </c>
      <c r="V69" s="1">
        <v>-492146097</v>
      </c>
      <c r="W69" t="s">
        <v>214</v>
      </c>
      <c r="X69">
        <v>0</v>
      </c>
      <c r="Y69" t="s">
        <v>46</v>
      </c>
    </row>
    <row r="70" spans="1:25" x14ac:dyDescent="0.3">
      <c r="A70">
        <v>69</v>
      </c>
      <c r="B70">
        <v>69</v>
      </c>
      <c r="C70">
        <v>4894185000500</v>
      </c>
      <c r="D70">
        <v>5</v>
      </c>
      <c r="E70" t="s">
        <v>1576</v>
      </c>
      <c r="F70">
        <v>5</v>
      </c>
      <c r="G70" t="s">
        <v>1613</v>
      </c>
      <c r="H70" t="str">
        <f t="shared" si="1"/>
        <v>REDE 5 - BANDEIRA 5 - LOJA 69</v>
      </c>
      <c r="I70">
        <v>1</v>
      </c>
      <c r="J70" t="s">
        <v>26</v>
      </c>
      <c r="K70">
        <v>2</v>
      </c>
      <c r="L70" t="s">
        <v>215</v>
      </c>
      <c r="M70">
        <v>1</v>
      </c>
      <c r="N70" t="s">
        <v>28</v>
      </c>
      <c r="O70">
        <v>1</v>
      </c>
      <c r="P70" t="s">
        <v>29</v>
      </c>
      <c r="Q70" t="s">
        <v>30</v>
      </c>
      <c r="R70">
        <v>1</v>
      </c>
      <c r="S70" t="s">
        <v>31</v>
      </c>
      <c r="T70" t="s">
        <v>216</v>
      </c>
      <c r="U70" s="1">
        <v>-254778035</v>
      </c>
      <c r="V70" s="1">
        <v>-493291997</v>
      </c>
      <c r="W70" t="s">
        <v>217</v>
      </c>
      <c r="X70">
        <v>1</v>
      </c>
      <c r="Y70" t="s">
        <v>34</v>
      </c>
    </row>
    <row r="71" spans="1:25" x14ac:dyDescent="0.3">
      <c r="A71">
        <v>70</v>
      </c>
      <c r="B71">
        <v>70</v>
      </c>
      <c r="C71">
        <v>4894185000933</v>
      </c>
      <c r="D71">
        <v>5</v>
      </c>
      <c r="E71" t="s">
        <v>1576</v>
      </c>
      <c r="F71">
        <v>5</v>
      </c>
      <c r="G71" t="s">
        <v>1613</v>
      </c>
      <c r="H71" t="str">
        <f t="shared" si="1"/>
        <v>REDE 5 - BANDEIRA 5 - LOJA 70</v>
      </c>
      <c r="I71">
        <v>1</v>
      </c>
      <c r="J71" t="s">
        <v>26</v>
      </c>
      <c r="K71">
        <v>2</v>
      </c>
      <c r="L71" t="s">
        <v>218</v>
      </c>
      <c r="M71">
        <v>5</v>
      </c>
      <c r="N71" t="s">
        <v>219</v>
      </c>
      <c r="O71">
        <v>1</v>
      </c>
      <c r="P71" t="s">
        <v>29</v>
      </c>
      <c r="Q71" t="s">
        <v>30</v>
      </c>
      <c r="R71">
        <v>1</v>
      </c>
      <c r="S71" t="s">
        <v>31</v>
      </c>
      <c r="T71" t="s">
        <v>220</v>
      </c>
      <c r="U71" s="1">
        <v>-255378682</v>
      </c>
      <c r="V71" s="1">
        <v>-492043951</v>
      </c>
      <c r="W71" t="s">
        <v>221</v>
      </c>
      <c r="X71">
        <v>1</v>
      </c>
      <c r="Y71" t="s">
        <v>34</v>
      </c>
    </row>
    <row r="72" spans="1:25" x14ac:dyDescent="0.3">
      <c r="A72">
        <v>71</v>
      </c>
      <c r="B72">
        <v>71</v>
      </c>
      <c r="C72">
        <v>4894185000771</v>
      </c>
      <c r="D72">
        <v>5</v>
      </c>
      <c r="E72" t="s">
        <v>1576</v>
      </c>
      <c r="F72">
        <v>5</v>
      </c>
      <c r="G72" t="s">
        <v>1613</v>
      </c>
      <c r="H72" t="str">
        <f t="shared" si="1"/>
        <v>REDE 5 - BANDEIRA 5 - LOJA 71</v>
      </c>
      <c r="I72">
        <v>1</v>
      </c>
      <c r="J72" t="s">
        <v>26</v>
      </c>
      <c r="K72">
        <v>2</v>
      </c>
      <c r="L72" t="s">
        <v>222</v>
      </c>
      <c r="M72">
        <v>1</v>
      </c>
      <c r="N72" t="s">
        <v>28</v>
      </c>
      <c r="O72">
        <v>1</v>
      </c>
      <c r="P72" t="s">
        <v>29</v>
      </c>
      <c r="Q72" t="s">
        <v>30</v>
      </c>
      <c r="R72">
        <v>1</v>
      </c>
      <c r="S72" t="s">
        <v>31</v>
      </c>
      <c r="T72" t="s">
        <v>223</v>
      </c>
      <c r="U72" s="1">
        <v>-254298975</v>
      </c>
      <c r="V72" s="1">
        <v>-492656404</v>
      </c>
      <c r="W72" t="s">
        <v>221</v>
      </c>
      <c r="X72">
        <v>1</v>
      </c>
      <c r="Y72" t="s">
        <v>34</v>
      </c>
    </row>
    <row r="73" spans="1:25" x14ac:dyDescent="0.3">
      <c r="A73">
        <v>72</v>
      </c>
      <c r="B73">
        <v>72</v>
      </c>
      <c r="C73">
        <v>29063261000485</v>
      </c>
      <c r="D73">
        <v>5</v>
      </c>
      <c r="E73" t="s">
        <v>1576</v>
      </c>
      <c r="F73">
        <v>5</v>
      </c>
      <c r="G73" t="s">
        <v>1613</v>
      </c>
      <c r="H73" t="str">
        <f t="shared" si="1"/>
        <v>REDE 5 - BANDEIRA 5 - LOJA 72</v>
      </c>
      <c r="I73">
        <v>1</v>
      </c>
      <c r="J73" t="s">
        <v>26</v>
      </c>
      <c r="K73">
        <v>2</v>
      </c>
      <c r="L73" t="s">
        <v>224</v>
      </c>
      <c r="M73">
        <v>1</v>
      </c>
      <c r="N73" t="s">
        <v>28</v>
      </c>
      <c r="O73">
        <v>1</v>
      </c>
      <c r="P73" t="s">
        <v>29</v>
      </c>
      <c r="Q73" t="s">
        <v>30</v>
      </c>
      <c r="R73">
        <v>1</v>
      </c>
      <c r="S73" t="s">
        <v>31</v>
      </c>
      <c r="T73" t="s">
        <v>225</v>
      </c>
      <c r="U73" s="1">
        <v>-254366638</v>
      </c>
      <c r="V73" s="1">
        <v>-493118924</v>
      </c>
      <c r="W73" t="s">
        <v>226</v>
      </c>
      <c r="X73">
        <v>1</v>
      </c>
      <c r="Y73" t="s">
        <v>34</v>
      </c>
    </row>
    <row r="74" spans="1:25" x14ac:dyDescent="0.3">
      <c r="A74">
        <v>73</v>
      </c>
      <c r="B74">
        <v>73</v>
      </c>
      <c r="C74">
        <v>29063261000132</v>
      </c>
      <c r="D74">
        <v>5</v>
      </c>
      <c r="E74" t="s">
        <v>1576</v>
      </c>
      <c r="F74">
        <v>5</v>
      </c>
      <c r="G74" t="s">
        <v>1613</v>
      </c>
      <c r="H74" t="str">
        <f t="shared" si="1"/>
        <v>REDE 5 - BANDEIRA 5 - LOJA 73</v>
      </c>
      <c r="I74">
        <v>1</v>
      </c>
      <c r="J74" t="s">
        <v>26</v>
      </c>
      <c r="K74">
        <v>2</v>
      </c>
      <c r="L74" t="s">
        <v>227</v>
      </c>
      <c r="M74">
        <v>1</v>
      </c>
      <c r="N74" t="s">
        <v>28</v>
      </c>
      <c r="O74">
        <v>1</v>
      </c>
      <c r="P74" t="s">
        <v>29</v>
      </c>
      <c r="Q74" t="s">
        <v>30</v>
      </c>
      <c r="R74">
        <v>1</v>
      </c>
      <c r="S74" t="s">
        <v>31</v>
      </c>
      <c r="T74" t="s">
        <v>228</v>
      </c>
      <c r="U74" s="1">
        <v>-254342108</v>
      </c>
      <c r="V74" s="1">
        <v>-493028801</v>
      </c>
      <c r="W74" t="s">
        <v>229</v>
      </c>
      <c r="X74">
        <v>1</v>
      </c>
      <c r="Y74" t="s">
        <v>34</v>
      </c>
    </row>
    <row r="75" spans="1:25" x14ac:dyDescent="0.3">
      <c r="A75">
        <v>74</v>
      </c>
      <c r="B75">
        <v>74</v>
      </c>
      <c r="C75">
        <v>12838301000178</v>
      </c>
      <c r="D75">
        <v>5</v>
      </c>
      <c r="E75" t="s">
        <v>1576</v>
      </c>
      <c r="F75">
        <v>5</v>
      </c>
      <c r="G75" t="s">
        <v>1613</v>
      </c>
      <c r="H75" t="str">
        <f t="shared" si="1"/>
        <v>REDE 5 - BANDEIRA 5 - LOJA 74</v>
      </c>
      <c r="I75">
        <v>1</v>
      </c>
      <c r="J75" t="s">
        <v>26</v>
      </c>
      <c r="K75">
        <v>2</v>
      </c>
      <c r="L75" t="s">
        <v>230</v>
      </c>
      <c r="M75">
        <v>1</v>
      </c>
      <c r="N75" t="s">
        <v>28</v>
      </c>
      <c r="O75">
        <v>1</v>
      </c>
      <c r="P75" t="s">
        <v>29</v>
      </c>
      <c r="Q75" t="s">
        <v>30</v>
      </c>
      <c r="R75">
        <v>1</v>
      </c>
      <c r="S75" t="s">
        <v>31</v>
      </c>
      <c r="T75" t="s">
        <v>231</v>
      </c>
      <c r="U75" s="1">
        <v>-254720967</v>
      </c>
      <c r="V75" s="1">
        <v>-492866288</v>
      </c>
      <c r="W75" t="s">
        <v>232</v>
      </c>
      <c r="X75">
        <v>1</v>
      </c>
      <c r="Y75" t="s">
        <v>34</v>
      </c>
    </row>
    <row r="76" spans="1:25" x14ac:dyDescent="0.3">
      <c r="A76">
        <v>75</v>
      </c>
      <c r="B76">
        <v>75</v>
      </c>
      <c r="C76">
        <v>12838301000330</v>
      </c>
      <c r="D76">
        <v>5</v>
      </c>
      <c r="E76" t="s">
        <v>1576</v>
      </c>
      <c r="F76">
        <v>5</v>
      </c>
      <c r="G76" t="s">
        <v>1613</v>
      </c>
      <c r="H76" t="str">
        <f t="shared" si="1"/>
        <v>REDE 5 - BANDEIRA 5 - LOJA 75</v>
      </c>
      <c r="I76">
        <v>1</v>
      </c>
      <c r="J76" t="s">
        <v>26</v>
      </c>
      <c r="K76">
        <v>2</v>
      </c>
      <c r="L76" t="s">
        <v>233</v>
      </c>
      <c r="M76">
        <v>1</v>
      </c>
      <c r="N76" t="s">
        <v>28</v>
      </c>
      <c r="O76">
        <v>1</v>
      </c>
      <c r="P76" t="s">
        <v>29</v>
      </c>
      <c r="Q76" t="s">
        <v>30</v>
      </c>
      <c r="R76">
        <v>1</v>
      </c>
      <c r="S76" t="s">
        <v>31</v>
      </c>
      <c r="T76" t="s">
        <v>234</v>
      </c>
      <c r="U76" s="1">
        <v>-254589187</v>
      </c>
      <c r="V76" s="1">
        <v>-492888762</v>
      </c>
      <c r="W76" t="s">
        <v>33</v>
      </c>
      <c r="X76">
        <v>1</v>
      </c>
      <c r="Y76" t="s">
        <v>34</v>
      </c>
    </row>
    <row r="77" spans="1:25" x14ac:dyDescent="0.3">
      <c r="A77">
        <v>76</v>
      </c>
      <c r="B77">
        <v>76</v>
      </c>
      <c r="C77">
        <v>3904759000197</v>
      </c>
      <c r="D77">
        <v>6</v>
      </c>
      <c r="E77" t="s">
        <v>1577</v>
      </c>
      <c r="F77">
        <v>6</v>
      </c>
      <c r="G77" t="s">
        <v>1614</v>
      </c>
      <c r="H77" t="str">
        <f t="shared" si="1"/>
        <v>REDE 6 - BANDEIRA 6 - LOJA 76</v>
      </c>
      <c r="I77">
        <v>1</v>
      </c>
      <c r="J77" t="s">
        <v>26</v>
      </c>
      <c r="K77">
        <v>1</v>
      </c>
      <c r="L77" t="s">
        <v>235</v>
      </c>
      <c r="M77">
        <v>6</v>
      </c>
      <c r="N77" t="s">
        <v>236</v>
      </c>
      <c r="O77">
        <v>5</v>
      </c>
      <c r="P77" t="s">
        <v>237</v>
      </c>
      <c r="Q77" t="s">
        <v>238</v>
      </c>
      <c r="R77">
        <v>4</v>
      </c>
      <c r="S77" t="s">
        <v>239</v>
      </c>
      <c r="T77" t="s">
        <v>240</v>
      </c>
      <c r="U77" s="1">
        <v>-374591109999999</v>
      </c>
      <c r="V77" s="1">
        <v>-384956173</v>
      </c>
      <c r="W77" t="s">
        <v>241</v>
      </c>
      <c r="X77">
        <v>1</v>
      </c>
      <c r="Y77" t="s">
        <v>34</v>
      </c>
    </row>
    <row r="78" spans="1:25" x14ac:dyDescent="0.3">
      <c r="A78">
        <v>77</v>
      </c>
      <c r="B78">
        <v>77</v>
      </c>
      <c r="C78">
        <v>29288053000131</v>
      </c>
      <c r="D78">
        <v>7</v>
      </c>
      <c r="E78" t="s">
        <v>1578</v>
      </c>
      <c r="F78">
        <v>7</v>
      </c>
      <c r="G78" t="s">
        <v>1615</v>
      </c>
      <c r="H78" t="str">
        <f t="shared" si="1"/>
        <v>REDE 7 - BANDEIRA 7 - LOJA 77</v>
      </c>
      <c r="I78">
        <v>1</v>
      </c>
      <c r="J78" t="s">
        <v>26</v>
      </c>
      <c r="K78">
        <v>1</v>
      </c>
      <c r="L78" t="s">
        <v>242</v>
      </c>
      <c r="M78">
        <v>1</v>
      </c>
      <c r="N78" t="s">
        <v>28</v>
      </c>
      <c r="O78">
        <v>1</v>
      </c>
      <c r="P78" t="s">
        <v>29</v>
      </c>
      <c r="Q78" t="s">
        <v>30</v>
      </c>
      <c r="R78">
        <v>1</v>
      </c>
      <c r="S78" t="s">
        <v>31</v>
      </c>
      <c r="T78" t="s">
        <v>243</v>
      </c>
      <c r="U78" s="1">
        <v>-253888914</v>
      </c>
      <c r="V78" s="1">
        <v>-492369406</v>
      </c>
      <c r="W78" t="s">
        <v>244</v>
      </c>
      <c r="X78">
        <v>1</v>
      </c>
      <c r="Y78" t="s">
        <v>34</v>
      </c>
    </row>
    <row r="79" spans="1:25" x14ac:dyDescent="0.3">
      <c r="A79">
        <v>78</v>
      </c>
      <c r="B79">
        <v>78</v>
      </c>
      <c r="C79">
        <v>36948394000151</v>
      </c>
      <c r="D79">
        <v>7</v>
      </c>
      <c r="E79" t="s">
        <v>1578</v>
      </c>
      <c r="F79">
        <v>7</v>
      </c>
      <c r="G79" t="s">
        <v>1615</v>
      </c>
      <c r="H79" t="str">
        <f t="shared" si="1"/>
        <v>REDE 7 - BANDEIRA 7 - LOJA 78</v>
      </c>
      <c r="I79">
        <v>1</v>
      </c>
      <c r="J79" t="s">
        <v>26</v>
      </c>
      <c r="K79">
        <v>1</v>
      </c>
      <c r="L79" t="s">
        <v>245</v>
      </c>
      <c r="M79">
        <v>1</v>
      </c>
      <c r="N79" t="s">
        <v>28</v>
      </c>
      <c r="O79">
        <v>1</v>
      </c>
      <c r="P79" t="s">
        <v>29</v>
      </c>
      <c r="Q79" t="s">
        <v>30</v>
      </c>
      <c r="R79">
        <v>1</v>
      </c>
      <c r="S79" t="s">
        <v>31</v>
      </c>
      <c r="T79" t="s">
        <v>246</v>
      </c>
      <c r="U79" s="1">
        <v>-254117595</v>
      </c>
      <c r="V79" s="1">
        <v>-492738357</v>
      </c>
      <c r="W79" t="s">
        <v>247</v>
      </c>
      <c r="X79">
        <v>1</v>
      </c>
      <c r="Y79" t="s">
        <v>34</v>
      </c>
    </row>
    <row r="80" spans="1:25" x14ac:dyDescent="0.3">
      <c r="A80">
        <v>79</v>
      </c>
      <c r="B80">
        <v>79</v>
      </c>
      <c r="C80">
        <v>30200838000190</v>
      </c>
      <c r="D80">
        <v>7</v>
      </c>
      <c r="E80" t="s">
        <v>1578</v>
      </c>
      <c r="F80">
        <v>7</v>
      </c>
      <c r="G80" t="s">
        <v>1615</v>
      </c>
      <c r="H80" t="str">
        <f t="shared" si="1"/>
        <v>REDE 7 - BANDEIRA 7 - LOJA 79</v>
      </c>
      <c r="I80">
        <v>1</v>
      </c>
      <c r="J80" t="s">
        <v>26</v>
      </c>
      <c r="K80">
        <v>1</v>
      </c>
      <c r="L80" t="s">
        <v>248</v>
      </c>
      <c r="M80">
        <v>1</v>
      </c>
      <c r="N80" t="s">
        <v>28</v>
      </c>
      <c r="O80">
        <v>1</v>
      </c>
      <c r="P80" t="s">
        <v>29</v>
      </c>
      <c r="Q80" t="s">
        <v>30</v>
      </c>
      <c r="R80">
        <v>1</v>
      </c>
      <c r="S80" t="s">
        <v>31</v>
      </c>
      <c r="T80" t="s">
        <v>249</v>
      </c>
      <c r="U80" s="1">
        <v>-254352597</v>
      </c>
      <c r="V80" s="1">
        <v>-493037518999999</v>
      </c>
      <c r="W80" t="s">
        <v>229</v>
      </c>
      <c r="X80">
        <v>1</v>
      </c>
      <c r="Y80" t="s">
        <v>34</v>
      </c>
    </row>
    <row r="81" spans="1:25" x14ac:dyDescent="0.3">
      <c r="A81">
        <v>80</v>
      </c>
      <c r="B81">
        <v>80</v>
      </c>
      <c r="C81">
        <v>48623001000119</v>
      </c>
      <c r="D81">
        <v>8</v>
      </c>
      <c r="E81" t="s">
        <v>1579</v>
      </c>
      <c r="F81">
        <v>8</v>
      </c>
      <c r="G81" t="s">
        <v>1616</v>
      </c>
      <c r="H81" t="str">
        <f t="shared" si="1"/>
        <v>REDE 8 - BANDEIRA 8 - LOJA 80</v>
      </c>
      <c r="I81">
        <v>1</v>
      </c>
      <c r="J81" t="s">
        <v>26</v>
      </c>
      <c r="K81">
        <v>2</v>
      </c>
      <c r="L81" t="s">
        <v>113</v>
      </c>
      <c r="M81">
        <v>3</v>
      </c>
      <c r="N81" t="s">
        <v>43</v>
      </c>
      <c r="O81">
        <v>3</v>
      </c>
      <c r="P81" t="s">
        <v>44</v>
      </c>
      <c r="Q81" t="s">
        <v>43</v>
      </c>
      <c r="R81">
        <v>2</v>
      </c>
      <c r="S81" t="s">
        <v>39</v>
      </c>
      <c r="T81" t="s">
        <v>114</v>
      </c>
      <c r="U81" s="1">
        <v>-229992432</v>
      </c>
      <c r="V81" s="1">
        <v>-43356174</v>
      </c>
      <c r="W81" t="s">
        <v>115</v>
      </c>
      <c r="X81">
        <v>1</v>
      </c>
      <c r="Y81" t="s">
        <v>34</v>
      </c>
    </row>
    <row r="82" spans="1:25" x14ac:dyDescent="0.3">
      <c r="A82">
        <v>81</v>
      </c>
      <c r="B82">
        <v>81</v>
      </c>
      <c r="C82">
        <v>35571904000151</v>
      </c>
      <c r="D82">
        <v>8</v>
      </c>
      <c r="E82" t="s">
        <v>1579</v>
      </c>
      <c r="F82">
        <v>8</v>
      </c>
      <c r="G82" t="s">
        <v>1616</v>
      </c>
      <c r="H82" t="str">
        <f t="shared" si="1"/>
        <v>REDE 8 - BANDEIRA 8 - LOJA 81</v>
      </c>
      <c r="I82">
        <v>1</v>
      </c>
      <c r="J82" t="s">
        <v>26</v>
      </c>
      <c r="K82">
        <v>2</v>
      </c>
      <c r="L82" t="s">
        <v>127</v>
      </c>
      <c r="M82">
        <v>3</v>
      </c>
      <c r="N82" t="s">
        <v>43</v>
      </c>
      <c r="O82">
        <v>3</v>
      </c>
      <c r="P82" t="s">
        <v>44</v>
      </c>
      <c r="Q82" t="s">
        <v>43</v>
      </c>
      <c r="R82">
        <v>2</v>
      </c>
      <c r="S82" t="s">
        <v>39</v>
      </c>
      <c r="T82" t="s">
        <v>128</v>
      </c>
      <c r="U82" s="1">
        <v>-23004800</v>
      </c>
      <c r="V82" s="1">
        <v>-43318452</v>
      </c>
      <c r="W82" t="s">
        <v>115</v>
      </c>
      <c r="X82">
        <v>1</v>
      </c>
      <c r="Y82" t="s">
        <v>34</v>
      </c>
    </row>
    <row r="83" spans="1:25" x14ac:dyDescent="0.3">
      <c r="A83">
        <v>82</v>
      </c>
      <c r="B83">
        <v>82</v>
      </c>
      <c r="C83">
        <v>9009088000187</v>
      </c>
      <c r="D83">
        <v>9</v>
      </c>
      <c r="E83" t="s">
        <v>1580</v>
      </c>
      <c r="F83">
        <v>9</v>
      </c>
      <c r="G83" t="s">
        <v>1617</v>
      </c>
      <c r="H83" t="str">
        <f t="shared" si="1"/>
        <v>REDE 9 - BANDEIRA 9 - LOJA 82</v>
      </c>
      <c r="I83">
        <v>1</v>
      </c>
      <c r="J83" t="s">
        <v>26</v>
      </c>
      <c r="K83">
        <v>2</v>
      </c>
      <c r="L83" t="s">
        <v>250</v>
      </c>
      <c r="M83">
        <v>2</v>
      </c>
      <c r="N83" t="s">
        <v>36</v>
      </c>
      <c r="O83">
        <v>2</v>
      </c>
      <c r="P83" t="s">
        <v>37</v>
      </c>
      <c r="Q83" t="s">
        <v>38</v>
      </c>
      <c r="R83">
        <v>2</v>
      </c>
      <c r="S83" t="s">
        <v>39</v>
      </c>
      <c r="T83" t="s">
        <v>251</v>
      </c>
      <c r="U83" s="1">
        <v>-236198179</v>
      </c>
      <c r="V83" s="1">
        <v>-466268083999999</v>
      </c>
      <c r="W83" t="s">
        <v>252</v>
      </c>
      <c r="X83">
        <v>1</v>
      </c>
      <c r="Y83" t="s">
        <v>34</v>
      </c>
    </row>
    <row r="84" spans="1:25" x14ac:dyDescent="0.3">
      <c r="A84">
        <v>83</v>
      </c>
      <c r="B84">
        <v>83</v>
      </c>
      <c r="C84">
        <v>12388703000118</v>
      </c>
      <c r="D84">
        <v>9</v>
      </c>
      <c r="E84" t="s">
        <v>1580</v>
      </c>
      <c r="F84">
        <v>9</v>
      </c>
      <c r="G84" t="s">
        <v>1617</v>
      </c>
      <c r="H84" t="str">
        <f t="shared" si="1"/>
        <v>REDE 9 - BANDEIRA 9 - LOJA 83</v>
      </c>
      <c r="I84">
        <v>1</v>
      </c>
      <c r="J84" t="s">
        <v>26</v>
      </c>
      <c r="K84">
        <v>2</v>
      </c>
      <c r="L84" t="s">
        <v>253</v>
      </c>
      <c r="M84">
        <v>2</v>
      </c>
      <c r="N84" t="s">
        <v>36</v>
      </c>
      <c r="O84">
        <v>2</v>
      </c>
      <c r="P84" t="s">
        <v>37</v>
      </c>
      <c r="Q84" t="s">
        <v>38</v>
      </c>
      <c r="R84">
        <v>2</v>
      </c>
      <c r="S84" t="s">
        <v>39</v>
      </c>
      <c r="T84" t="s">
        <v>254</v>
      </c>
      <c r="U84" s="1">
        <v>-235417077</v>
      </c>
      <c r="V84" s="1">
        <v>-465766182</v>
      </c>
      <c r="W84" t="s">
        <v>255</v>
      </c>
      <c r="X84">
        <v>1</v>
      </c>
      <c r="Y84" t="s">
        <v>34</v>
      </c>
    </row>
    <row r="85" spans="1:25" x14ac:dyDescent="0.3">
      <c r="A85">
        <v>84</v>
      </c>
      <c r="B85">
        <v>84</v>
      </c>
      <c r="C85">
        <v>24477109000182</v>
      </c>
      <c r="D85">
        <v>10</v>
      </c>
      <c r="E85" t="s">
        <v>1581</v>
      </c>
      <c r="F85">
        <v>10</v>
      </c>
      <c r="G85" t="s">
        <v>1618</v>
      </c>
      <c r="H85" t="str">
        <f t="shared" si="1"/>
        <v>REDE 10 - BANDEIRA 10 - LOJA 84</v>
      </c>
      <c r="I85">
        <v>1</v>
      </c>
      <c r="J85" t="s">
        <v>26</v>
      </c>
      <c r="K85">
        <v>2</v>
      </c>
      <c r="L85" t="s">
        <v>256</v>
      </c>
      <c r="M85">
        <v>1</v>
      </c>
      <c r="N85" t="s">
        <v>28</v>
      </c>
      <c r="O85">
        <v>1</v>
      </c>
      <c r="P85" t="s">
        <v>29</v>
      </c>
      <c r="Q85" t="s">
        <v>30</v>
      </c>
      <c r="R85">
        <v>1</v>
      </c>
      <c r="S85" t="s">
        <v>31</v>
      </c>
      <c r="T85" t="s">
        <v>257</v>
      </c>
      <c r="U85" s="1">
        <v>-253911611</v>
      </c>
      <c r="V85" s="1">
        <v>-49256478</v>
      </c>
      <c r="W85" t="s">
        <v>258</v>
      </c>
      <c r="X85">
        <v>1</v>
      </c>
      <c r="Y85" t="s">
        <v>34</v>
      </c>
    </row>
    <row r="86" spans="1:25" x14ac:dyDescent="0.3">
      <c r="A86">
        <v>85</v>
      </c>
      <c r="B86">
        <v>85</v>
      </c>
      <c r="C86">
        <v>19172803000151</v>
      </c>
      <c r="D86">
        <v>10</v>
      </c>
      <c r="E86" t="s">
        <v>1581</v>
      </c>
      <c r="F86">
        <v>10</v>
      </c>
      <c r="G86" t="s">
        <v>1618</v>
      </c>
      <c r="H86" t="str">
        <f t="shared" si="1"/>
        <v>REDE 10 - BANDEIRA 10 - LOJA 85</v>
      </c>
      <c r="I86">
        <v>1</v>
      </c>
      <c r="J86" t="s">
        <v>26</v>
      </c>
      <c r="K86">
        <v>2</v>
      </c>
      <c r="L86" t="s">
        <v>259</v>
      </c>
      <c r="M86">
        <v>1</v>
      </c>
      <c r="N86" t="s">
        <v>28</v>
      </c>
      <c r="O86">
        <v>1</v>
      </c>
      <c r="P86" t="s">
        <v>29</v>
      </c>
      <c r="Q86" t="s">
        <v>30</v>
      </c>
      <c r="R86">
        <v>1</v>
      </c>
      <c r="S86" t="s">
        <v>31</v>
      </c>
      <c r="T86" t="s">
        <v>260</v>
      </c>
      <c r="U86" s="1">
        <v>-254389917</v>
      </c>
      <c r="V86" s="1">
        <v>-492358527</v>
      </c>
      <c r="W86" t="s">
        <v>261</v>
      </c>
      <c r="X86">
        <v>1</v>
      </c>
      <c r="Y86" t="s">
        <v>34</v>
      </c>
    </row>
    <row r="87" spans="1:25" x14ac:dyDescent="0.3">
      <c r="A87">
        <v>86</v>
      </c>
      <c r="B87">
        <v>86</v>
      </c>
      <c r="C87">
        <v>46358534000195</v>
      </c>
      <c r="D87">
        <v>11</v>
      </c>
      <c r="E87" t="s">
        <v>1582</v>
      </c>
      <c r="F87">
        <v>11</v>
      </c>
      <c r="G87" t="s">
        <v>1619</v>
      </c>
      <c r="H87" t="str">
        <f t="shared" si="1"/>
        <v>REDE 11 - BANDEIRA 11 - LOJA 86</v>
      </c>
      <c r="I87">
        <v>1</v>
      </c>
      <c r="J87" t="s">
        <v>26</v>
      </c>
      <c r="K87">
        <v>2</v>
      </c>
      <c r="L87" t="s">
        <v>262</v>
      </c>
      <c r="M87">
        <v>2</v>
      </c>
      <c r="N87" t="s">
        <v>36</v>
      </c>
      <c r="O87">
        <v>2</v>
      </c>
      <c r="P87" t="s">
        <v>37</v>
      </c>
      <c r="Q87" t="s">
        <v>38</v>
      </c>
      <c r="R87">
        <v>2</v>
      </c>
      <c r="S87" t="s">
        <v>39</v>
      </c>
      <c r="T87" t="s">
        <v>263</v>
      </c>
      <c r="U87" s="1">
        <v>-235739968</v>
      </c>
      <c r="V87" s="1">
        <v>-466314688</v>
      </c>
      <c r="W87" t="s">
        <v>264</v>
      </c>
      <c r="X87">
        <v>1</v>
      </c>
      <c r="Y87" t="s">
        <v>34</v>
      </c>
    </row>
    <row r="88" spans="1:25" x14ac:dyDescent="0.3">
      <c r="A88">
        <v>87</v>
      </c>
      <c r="B88">
        <v>87</v>
      </c>
      <c r="C88">
        <v>4122858000180</v>
      </c>
      <c r="D88">
        <v>11</v>
      </c>
      <c r="E88" t="s">
        <v>1582</v>
      </c>
      <c r="F88">
        <v>11</v>
      </c>
      <c r="G88" t="s">
        <v>1619</v>
      </c>
      <c r="H88" t="str">
        <f t="shared" si="1"/>
        <v>REDE 11 - BANDEIRA 11 - LOJA 87</v>
      </c>
      <c r="I88">
        <v>1</v>
      </c>
      <c r="J88" t="s">
        <v>26</v>
      </c>
      <c r="K88">
        <v>2</v>
      </c>
      <c r="L88" t="s">
        <v>265</v>
      </c>
      <c r="M88">
        <v>3</v>
      </c>
      <c r="N88" t="s">
        <v>43</v>
      </c>
      <c r="O88">
        <v>3</v>
      </c>
      <c r="P88" t="s">
        <v>44</v>
      </c>
      <c r="Q88" t="s">
        <v>43</v>
      </c>
      <c r="R88">
        <v>2</v>
      </c>
      <c r="S88" t="s">
        <v>39</v>
      </c>
      <c r="T88" t="s">
        <v>266</v>
      </c>
      <c r="U88" s="1">
        <v>-23000966</v>
      </c>
      <c r="V88" s="1">
        <v>-43342434</v>
      </c>
      <c r="W88" t="s">
        <v>115</v>
      </c>
      <c r="X88">
        <v>1</v>
      </c>
      <c r="Y88" t="s">
        <v>34</v>
      </c>
    </row>
    <row r="89" spans="1:25" x14ac:dyDescent="0.3">
      <c r="A89">
        <v>88</v>
      </c>
      <c r="B89">
        <v>88</v>
      </c>
      <c r="C89">
        <v>16555630000162</v>
      </c>
      <c r="D89">
        <v>11</v>
      </c>
      <c r="E89" t="s">
        <v>1582</v>
      </c>
      <c r="F89">
        <v>11</v>
      </c>
      <c r="G89" t="s">
        <v>1619</v>
      </c>
      <c r="H89" t="str">
        <f t="shared" si="1"/>
        <v>REDE 11 - BANDEIRA 11 - LOJA 88</v>
      </c>
      <c r="I89">
        <v>1</v>
      </c>
      <c r="J89" t="s">
        <v>26</v>
      </c>
      <c r="K89">
        <v>2</v>
      </c>
      <c r="L89" t="s">
        <v>267</v>
      </c>
      <c r="M89">
        <v>3</v>
      </c>
      <c r="N89" t="s">
        <v>43</v>
      </c>
      <c r="O89">
        <v>3</v>
      </c>
      <c r="P89" t="s">
        <v>44</v>
      </c>
      <c r="Q89" t="s">
        <v>43</v>
      </c>
      <c r="R89">
        <v>2</v>
      </c>
      <c r="S89" t="s">
        <v>39</v>
      </c>
      <c r="T89" t="s">
        <v>268</v>
      </c>
      <c r="U89" s="1">
        <v>-229493128</v>
      </c>
      <c r="V89" s="1">
        <v>-431823495999999</v>
      </c>
      <c r="W89" t="s">
        <v>45</v>
      </c>
      <c r="X89">
        <v>1</v>
      </c>
      <c r="Y89" t="s">
        <v>34</v>
      </c>
    </row>
    <row r="90" spans="1:25" x14ac:dyDescent="0.3">
      <c r="A90">
        <v>89</v>
      </c>
      <c r="B90">
        <v>89</v>
      </c>
      <c r="C90">
        <v>48766302000100</v>
      </c>
      <c r="D90">
        <v>11</v>
      </c>
      <c r="E90" t="s">
        <v>1582</v>
      </c>
      <c r="F90">
        <v>11</v>
      </c>
      <c r="G90" t="s">
        <v>1619</v>
      </c>
      <c r="H90" t="str">
        <f t="shared" si="1"/>
        <v>REDE 11 - BANDEIRA 11 - LOJA 89</v>
      </c>
      <c r="I90">
        <v>1</v>
      </c>
      <c r="J90" t="s">
        <v>26</v>
      </c>
      <c r="K90">
        <v>2</v>
      </c>
      <c r="L90" t="s">
        <v>269</v>
      </c>
      <c r="M90">
        <v>3</v>
      </c>
      <c r="N90" t="s">
        <v>43</v>
      </c>
      <c r="O90">
        <v>3</v>
      </c>
      <c r="P90" t="s">
        <v>44</v>
      </c>
      <c r="Q90" t="s">
        <v>43</v>
      </c>
      <c r="R90">
        <v>2</v>
      </c>
      <c r="S90" t="s">
        <v>39</v>
      </c>
      <c r="T90" t="s">
        <v>270</v>
      </c>
      <c r="U90" s="1">
        <v>-229928071</v>
      </c>
      <c r="V90" s="1">
        <v>-433638843</v>
      </c>
      <c r="W90" t="s">
        <v>115</v>
      </c>
      <c r="X90">
        <v>1</v>
      </c>
      <c r="Y90" t="s">
        <v>34</v>
      </c>
    </row>
    <row r="91" spans="1:25" x14ac:dyDescent="0.3">
      <c r="A91">
        <v>90</v>
      </c>
      <c r="B91">
        <v>90</v>
      </c>
      <c r="C91">
        <v>18295530000170</v>
      </c>
      <c r="D91">
        <v>11</v>
      </c>
      <c r="E91" t="s">
        <v>1582</v>
      </c>
      <c r="F91">
        <v>11</v>
      </c>
      <c r="G91" t="s">
        <v>1619</v>
      </c>
      <c r="H91" t="str">
        <f t="shared" si="1"/>
        <v>REDE 11 - BANDEIRA 11 - LOJA 90</v>
      </c>
      <c r="I91">
        <v>1</v>
      </c>
      <c r="J91" t="s">
        <v>26</v>
      </c>
      <c r="K91">
        <v>2</v>
      </c>
      <c r="L91" t="s">
        <v>271</v>
      </c>
      <c r="M91">
        <v>3</v>
      </c>
      <c r="N91" t="s">
        <v>43</v>
      </c>
      <c r="O91">
        <v>3</v>
      </c>
      <c r="P91" t="s">
        <v>44</v>
      </c>
      <c r="Q91" t="s">
        <v>43</v>
      </c>
      <c r="R91">
        <v>2</v>
      </c>
      <c r="S91" t="s">
        <v>39</v>
      </c>
      <c r="T91" t="s">
        <v>272</v>
      </c>
      <c r="U91" s="1">
        <v>-229857765</v>
      </c>
      <c r="V91" s="1">
        <v>-431984427</v>
      </c>
      <c r="W91" t="s">
        <v>152</v>
      </c>
      <c r="X91">
        <v>0</v>
      </c>
      <c r="Y91" t="s">
        <v>46</v>
      </c>
    </row>
    <row r="92" spans="1:25" x14ac:dyDescent="0.3">
      <c r="A92">
        <v>91</v>
      </c>
      <c r="B92">
        <v>91</v>
      </c>
      <c r="C92">
        <v>28678740000109</v>
      </c>
      <c r="D92">
        <v>11</v>
      </c>
      <c r="E92" t="s">
        <v>1582</v>
      </c>
      <c r="F92">
        <v>11</v>
      </c>
      <c r="G92" t="s">
        <v>1619</v>
      </c>
      <c r="H92" t="str">
        <f t="shared" si="1"/>
        <v>REDE 11 - BANDEIRA 11 - LOJA 91</v>
      </c>
      <c r="I92">
        <v>1</v>
      </c>
      <c r="J92" t="s">
        <v>26</v>
      </c>
      <c r="K92">
        <v>2</v>
      </c>
      <c r="L92" t="s">
        <v>273</v>
      </c>
      <c r="M92">
        <v>3</v>
      </c>
      <c r="N92" t="s">
        <v>43</v>
      </c>
      <c r="O92">
        <v>3</v>
      </c>
      <c r="P92" t="s">
        <v>44</v>
      </c>
      <c r="Q92" t="s">
        <v>43</v>
      </c>
      <c r="R92">
        <v>2</v>
      </c>
      <c r="S92" t="s">
        <v>39</v>
      </c>
      <c r="T92" t="s">
        <v>274</v>
      </c>
      <c r="U92" s="1">
        <v>-229808201</v>
      </c>
      <c r="V92" s="1">
        <v>-432229278</v>
      </c>
      <c r="W92" t="s">
        <v>168</v>
      </c>
      <c r="X92">
        <v>1</v>
      </c>
      <c r="Y92" t="s">
        <v>34</v>
      </c>
    </row>
    <row r="93" spans="1:25" x14ac:dyDescent="0.3">
      <c r="A93">
        <v>92</v>
      </c>
      <c r="B93">
        <v>92</v>
      </c>
      <c r="C93">
        <v>34398649000124</v>
      </c>
      <c r="D93">
        <v>11</v>
      </c>
      <c r="E93" t="s">
        <v>1582</v>
      </c>
      <c r="F93">
        <v>11</v>
      </c>
      <c r="G93" t="s">
        <v>1619</v>
      </c>
      <c r="H93" t="str">
        <f t="shared" si="1"/>
        <v>REDE 11 - BANDEIRA 11 - LOJA 92</v>
      </c>
      <c r="I93">
        <v>1</v>
      </c>
      <c r="J93" t="s">
        <v>26</v>
      </c>
      <c r="K93">
        <v>2</v>
      </c>
      <c r="L93" t="s">
        <v>275</v>
      </c>
      <c r="M93">
        <v>3</v>
      </c>
      <c r="N93" t="s">
        <v>43</v>
      </c>
      <c r="O93">
        <v>3</v>
      </c>
      <c r="P93" t="s">
        <v>44</v>
      </c>
      <c r="Q93" t="s">
        <v>43</v>
      </c>
      <c r="R93">
        <v>2</v>
      </c>
      <c r="S93" t="s">
        <v>39</v>
      </c>
      <c r="T93" t="s">
        <v>276</v>
      </c>
      <c r="U93" s="1">
        <v>-229068423</v>
      </c>
      <c r="V93" s="1">
        <v>-431781471</v>
      </c>
      <c r="W93" t="s">
        <v>221</v>
      </c>
      <c r="X93">
        <v>1</v>
      </c>
      <c r="Y93" t="s">
        <v>34</v>
      </c>
    </row>
    <row r="94" spans="1:25" x14ac:dyDescent="0.3">
      <c r="A94">
        <v>93</v>
      </c>
      <c r="B94">
        <v>93</v>
      </c>
      <c r="C94">
        <v>34398649000205</v>
      </c>
      <c r="D94">
        <v>11</v>
      </c>
      <c r="E94" t="s">
        <v>1582</v>
      </c>
      <c r="F94">
        <v>11</v>
      </c>
      <c r="G94" t="s">
        <v>1619</v>
      </c>
      <c r="H94" t="str">
        <f t="shared" si="1"/>
        <v>REDE 11 - BANDEIRA 11 - LOJA 93</v>
      </c>
      <c r="I94">
        <v>1</v>
      </c>
      <c r="J94" t="s">
        <v>26</v>
      </c>
      <c r="K94">
        <v>2</v>
      </c>
      <c r="L94" t="s">
        <v>277</v>
      </c>
      <c r="M94">
        <v>3</v>
      </c>
      <c r="N94" t="s">
        <v>43</v>
      </c>
      <c r="O94">
        <v>3</v>
      </c>
      <c r="P94" t="s">
        <v>44</v>
      </c>
      <c r="Q94" t="s">
        <v>43</v>
      </c>
      <c r="R94">
        <v>2</v>
      </c>
      <c r="S94" t="s">
        <v>39</v>
      </c>
      <c r="T94" t="s">
        <v>278</v>
      </c>
      <c r="U94" s="1">
        <v>-229664282</v>
      </c>
      <c r="V94" s="1">
        <v>-431870582</v>
      </c>
      <c r="W94" t="s">
        <v>135</v>
      </c>
      <c r="X94">
        <v>1</v>
      </c>
      <c r="Y94" t="s">
        <v>34</v>
      </c>
    </row>
    <row r="95" spans="1:25" x14ac:dyDescent="0.3">
      <c r="A95">
        <v>94</v>
      </c>
      <c r="B95">
        <v>94</v>
      </c>
      <c r="C95">
        <v>45902458000174</v>
      </c>
      <c r="D95">
        <v>11</v>
      </c>
      <c r="E95" t="s">
        <v>1582</v>
      </c>
      <c r="F95">
        <v>11</v>
      </c>
      <c r="G95" t="s">
        <v>1619</v>
      </c>
      <c r="H95" t="str">
        <f t="shared" si="1"/>
        <v>REDE 11 - BANDEIRA 11 - LOJA 94</v>
      </c>
      <c r="I95">
        <v>1</v>
      </c>
      <c r="J95" t="s">
        <v>26</v>
      </c>
      <c r="K95">
        <v>2</v>
      </c>
      <c r="L95" t="s">
        <v>279</v>
      </c>
      <c r="M95">
        <v>3</v>
      </c>
      <c r="N95" t="s">
        <v>43</v>
      </c>
      <c r="O95">
        <v>3</v>
      </c>
      <c r="P95" t="s">
        <v>44</v>
      </c>
      <c r="Q95" t="s">
        <v>43</v>
      </c>
      <c r="R95">
        <v>2</v>
      </c>
      <c r="S95" t="s">
        <v>39</v>
      </c>
      <c r="T95" t="s">
        <v>280</v>
      </c>
      <c r="U95" s="1">
        <v>-229840753</v>
      </c>
      <c r="V95" s="1">
        <v>-43207127</v>
      </c>
      <c r="W95" t="s">
        <v>152</v>
      </c>
      <c r="X95">
        <v>1</v>
      </c>
      <c r="Y95" t="s">
        <v>34</v>
      </c>
    </row>
    <row r="96" spans="1:25" x14ac:dyDescent="0.3">
      <c r="A96">
        <v>95</v>
      </c>
      <c r="B96">
        <v>95</v>
      </c>
      <c r="C96">
        <v>12071622000190</v>
      </c>
      <c r="D96">
        <v>11</v>
      </c>
      <c r="E96" t="s">
        <v>1582</v>
      </c>
      <c r="F96">
        <v>11</v>
      </c>
      <c r="G96" t="s">
        <v>1619</v>
      </c>
      <c r="H96" t="str">
        <f t="shared" si="1"/>
        <v>REDE 11 - BANDEIRA 11 - LOJA 95</v>
      </c>
      <c r="I96">
        <v>1</v>
      </c>
      <c r="J96" t="s">
        <v>26</v>
      </c>
      <c r="K96">
        <v>2</v>
      </c>
      <c r="L96" t="s">
        <v>281</v>
      </c>
      <c r="M96">
        <v>3</v>
      </c>
      <c r="N96" t="s">
        <v>43</v>
      </c>
      <c r="O96">
        <v>3</v>
      </c>
      <c r="P96" t="s">
        <v>44</v>
      </c>
      <c r="Q96" t="s">
        <v>43</v>
      </c>
      <c r="R96">
        <v>2</v>
      </c>
      <c r="S96" t="s">
        <v>39</v>
      </c>
      <c r="T96" t="s">
        <v>282</v>
      </c>
      <c r="U96" s="1">
        <v>-2321187</v>
      </c>
      <c r="V96" s="1">
        <v>-434878274999999</v>
      </c>
      <c r="W96" t="s">
        <v>109</v>
      </c>
      <c r="X96">
        <v>1</v>
      </c>
      <c r="Y96" t="s">
        <v>34</v>
      </c>
    </row>
    <row r="97" spans="1:25" x14ac:dyDescent="0.3">
      <c r="A97">
        <v>96</v>
      </c>
      <c r="B97">
        <v>96</v>
      </c>
      <c r="C97">
        <v>28352752000130</v>
      </c>
      <c r="D97">
        <v>11</v>
      </c>
      <c r="E97" t="s">
        <v>1582</v>
      </c>
      <c r="F97">
        <v>11</v>
      </c>
      <c r="G97" t="s">
        <v>1619</v>
      </c>
      <c r="H97" t="str">
        <f t="shared" si="1"/>
        <v>REDE 11 - BANDEIRA 11 - LOJA 96</v>
      </c>
      <c r="I97">
        <v>1</v>
      </c>
      <c r="J97" t="s">
        <v>26</v>
      </c>
      <c r="K97">
        <v>2</v>
      </c>
      <c r="L97" t="s">
        <v>283</v>
      </c>
      <c r="M97">
        <v>3</v>
      </c>
      <c r="N97" t="s">
        <v>43</v>
      </c>
      <c r="O97">
        <v>3</v>
      </c>
      <c r="P97" t="s">
        <v>44</v>
      </c>
      <c r="Q97" t="s">
        <v>43</v>
      </c>
      <c r="R97">
        <v>2</v>
      </c>
      <c r="S97" t="s">
        <v>39</v>
      </c>
      <c r="T97" t="s">
        <v>284</v>
      </c>
      <c r="U97" s="1">
        <v>-23009129</v>
      </c>
      <c r="V97" s="1">
        <v>-43304750</v>
      </c>
      <c r="W97" t="s">
        <v>115</v>
      </c>
      <c r="X97">
        <v>1</v>
      </c>
      <c r="Y97" t="s">
        <v>34</v>
      </c>
    </row>
    <row r="98" spans="1:25" x14ac:dyDescent="0.3">
      <c r="A98">
        <v>97</v>
      </c>
      <c r="B98">
        <v>97</v>
      </c>
      <c r="C98">
        <v>42495362000140</v>
      </c>
      <c r="D98">
        <v>11</v>
      </c>
      <c r="E98" t="s">
        <v>1582</v>
      </c>
      <c r="F98">
        <v>11</v>
      </c>
      <c r="G98" t="s">
        <v>1619</v>
      </c>
      <c r="H98" t="str">
        <f t="shared" si="1"/>
        <v>REDE 11 - BANDEIRA 11 - LOJA 97</v>
      </c>
      <c r="I98">
        <v>1</v>
      </c>
      <c r="J98" t="s">
        <v>26</v>
      </c>
      <c r="K98">
        <v>2</v>
      </c>
      <c r="L98" t="s">
        <v>285</v>
      </c>
      <c r="M98">
        <v>3</v>
      </c>
      <c r="N98" t="s">
        <v>43</v>
      </c>
      <c r="O98">
        <v>3</v>
      </c>
      <c r="P98" t="s">
        <v>44</v>
      </c>
      <c r="Q98" t="s">
        <v>43</v>
      </c>
      <c r="R98">
        <v>2</v>
      </c>
      <c r="S98" t="s">
        <v>39</v>
      </c>
      <c r="T98" t="s">
        <v>211</v>
      </c>
      <c r="U98" s="1">
        <v>-229296232</v>
      </c>
      <c r="V98" s="1">
        <v>-432375653</v>
      </c>
      <c r="W98" t="s">
        <v>200</v>
      </c>
      <c r="X98">
        <v>1</v>
      </c>
      <c r="Y98" t="s">
        <v>34</v>
      </c>
    </row>
    <row r="99" spans="1:25" x14ac:dyDescent="0.3">
      <c r="A99">
        <v>98</v>
      </c>
      <c r="B99">
        <v>98</v>
      </c>
      <c r="C99">
        <v>35703044000162</v>
      </c>
      <c r="D99">
        <v>11</v>
      </c>
      <c r="E99" t="s">
        <v>1582</v>
      </c>
      <c r="F99">
        <v>11</v>
      </c>
      <c r="G99" t="s">
        <v>1619</v>
      </c>
      <c r="H99" t="str">
        <f t="shared" si="1"/>
        <v>REDE 11 - BANDEIRA 11 - LOJA 98</v>
      </c>
      <c r="I99">
        <v>1</v>
      </c>
      <c r="J99" t="s">
        <v>26</v>
      </c>
      <c r="K99">
        <v>2</v>
      </c>
      <c r="L99" t="s">
        <v>286</v>
      </c>
      <c r="M99">
        <v>3</v>
      </c>
      <c r="N99" t="s">
        <v>43</v>
      </c>
      <c r="O99">
        <v>3</v>
      </c>
      <c r="P99" t="s">
        <v>44</v>
      </c>
      <c r="Q99" t="s">
        <v>43</v>
      </c>
      <c r="R99">
        <v>2</v>
      </c>
      <c r="S99" t="s">
        <v>39</v>
      </c>
      <c r="T99" t="s">
        <v>203</v>
      </c>
      <c r="U99" s="1">
        <v>-229827365</v>
      </c>
      <c r="V99" s="1">
        <v>-43360893</v>
      </c>
      <c r="W99" t="s">
        <v>115</v>
      </c>
      <c r="X99">
        <v>1</v>
      </c>
      <c r="Y99" t="s">
        <v>34</v>
      </c>
    </row>
    <row r="100" spans="1:25" x14ac:dyDescent="0.3">
      <c r="A100">
        <v>99</v>
      </c>
      <c r="B100">
        <v>99</v>
      </c>
      <c r="C100">
        <v>36537956000174</v>
      </c>
      <c r="D100">
        <v>11</v>
      </c>
      <c r="E100" t="s">
        <v>1582</v>
      </c>
      <c r="F100">
        <v>11</v>
      </c>
      <c r="G100" t="s">
        <v>1619</v>
      </c>
      <c r="H100" t="str">
        <f t="shared" si="1"/>
        <v>REDE 11 - BANDEIRA 11 - LOJA 99</v>
      </c>
      <c r="I100">
        <v>1</v>
      </c>
      <c r="J100" t="s">
        <v>26</v>
      </c>
      <c r="K100">
        <v>2</v>
      </c>
      <c r="L100" t="s">
        <v>287</v>
      </c>
      <c r="M100">
        <v>3</v>
      </c>
      <c r="N100" t="s">
        <v>43</v>
      </c>
      <c r="O100">
        <v>3</v>
      </c>
      <c r="P100" t="s">
        <v>44</v>
      </c>
      <c r="Q100" t="s">
        <v>43</v>
      </c>
      <c r="R100">
        <v>2</v>
      </c>
      <c r="S100" t="s">
        <v>39</v>
      </c>
      <c r="T100" t="s">
        <v>288</v>
      </c>
      <c r="U100" s="1">
        <v>-23121791</v>
      </c>
      <c r="V100" s="1">
        <v>-433101861</v>
      </c>
      <c r="W100" t="s">
        <v>115</v>
      </c>
      <c r="X100">
        <v>1</v>
      </c>
      <c r="Y100" t="s">
        <v>34</v>
      </c>
    </row>
    <row r="101" spans="1:25" x14ac:dyDescent="0.3">
      <c r="A101">
        <v>100</v>
      </c>
      <c r="B101">
        <v>100</v>
      </c>
      <c r="C101">
        <v>40777687000190</v>
      </c>
      <c r="D101">
        <v>11</v>
      </c>
      <c r="E101" t="s">
        <v>1582</v>
      </c>
      <c r="F101">
        <v>11</v>
      </c>
      <c r="G101" t="s">
        <v>1619</v>
      </c>
      <c r="H101" t="str">
        <f t="shared" si="1"/>
        <v>REDE 11 - BANDEIRA 11 - LOJA 100</v>
      </c>
      <c r="I101">
        <v>1</v>
      </c>
      <c r="J101" t="s">
        <v>26</v>
      </c>
      <c r="K101">
        <v>2</v>
      </c>
      <c r="L101" t="s">
        <v>289</v>
      </c>
      <c r="M101">
        <v>3</v>
      </c>
      <c r="N101" t="s">
        <v>43</v>
      </c>
      <c r="O101">
        <v>3</v>
      </c>
      <c r="P101" t="s">
        <v>44</v>
      </c>
      <c r="Q101" t="s">
        <v>43</v>
      </c>
      <c r="R101">
        <v>2</v>
      </c>
      <c r="S101" t="s">
        <v>39</v>
      </c>
      <c r="T101" t="s">
        <v>290</v>
      </c>
      <c r="U101" s="1">
        <v>-23127252</v>
      </c>
      <c r="V101" s="1">
        <v>-434477550999999</v>
      </c>
      <c r="W101" t="s">
        <v>109</v>
      </c>
      <c r="X101">
        <v>1</v>
      </c>
      <c r="Y101" t="s">
        <v>34</v>
      </c>
    </row>
    <row r="102" spans="1:25" x14ac:dyDescent="0.3">
      <c r="A102">
        <v>101</v>
      </c>
      <c r="B102">
        <v>101</v>
      </c>
      <c r="C102">
        <v>25206077000143</v>
      </c>
      <c r="D102">
        <v>11</v>
      </c>
      <c r="E102" t="s">
        <v>1582</v>
      </c>
      <c r="F102">
        <v>11</v>
      </c>
      <c r="G102" t="s">
        <v>1619</v>
      </c>
      <c r="H102" t="str">
        <f t="shared" si="1"/>
        <v>REDE 11 - BANDEIRA 11 - LOJA 101</v>
      </c>
      <c r="I102">
        <v>1</v>
      </c>
      <c r="J102" t="s">
        <v>26</v>
      </c>
      <c r="K102">
        <v>2</v>
      </c>
      <c r="L102" t="s">
        <v>291</v>
      </c>
      <c r="M102">
        <v>3</v>
      </c>
      <c r="N102" t="s">
        <v>43</v>
      </c>
      <c r="O102">
        <v>3</v>
      </c>
      <c r="P102" t="s">
        <v>44</v>
      </c>
      <c r="Q102" t="s">
        <v>43</v>
      </c>
      <c r="R102">
        <v>2</v>
      </c>
      <c r="S102" t="s">
        <v>39</v>
      </c>
      <c r="T102" t="s">
        <v>292</v>
      </c>
      <c r="U102" s="1">
        <v>-2398129</v>
      </c>
      <c r="V102" s="1">
        <v>-433421768</v>
      </c>
      <c r="W102" t="s">
        <v>115</v>
      </c>
      <c r="X102">
        <v>0</v>
      </c>
      <c r="Y102" t="s">
        <v>46</v>
      </c>
    </row>
    <row r="103" spans="1:25" x14ac:dyDescent="0.3">
      <c r="A103">
        <v>102</v>
      </c>
      <c r="B103">
        <v>102</v>
      </c>
      <c r="C103">
        <v>26484354000142</v>
      </c>
      <c r="D103">
        <v>12</v>
      </c>
      <c r="E103" t="s">
        <v>1583</v>
      </c>
      <c r="F103">
        <v>12</v>
      </c>
      <c r="G103" t="s">
        <v>1620</v>
      </c>
      <c r="H103" t="str">
        <f t="shared" si="1"/>
        <v>REDE 12 - BANDEIRA 12 - LOJA 102</v>
      </c>
      <c r="I103">
        <v>1</v>
      </c>
      <c r="J103" t="s">
        <v>26</v>
      </c>
      <c r="K103">
        <v>1</v>
      </c>
      <c r="L103" t="s">
        <v>293</v>
      </c>
      <c r="M103">
        <v>7</v>
      </c>
      <c r="N103" t="s">
        <v>294</v>
      </c>
      <c r="O103">
        <v>5</v>
      </c>
      <c r="P103" t="s">
        <v>237</v>
      </c>
      <c r="Q103" t="s">
        <v>238</v>
      </c>
      <c r="R103">
        <v>4</v>
      </c>
      <c r="S103" t="s">
        <v>239</v>
      </c>
      <c r="T103" t="s">
        <v>295</v>
      </c>
      <c r="U103" s="1">
        <v>-38712827</v>
      </c>
      <c r="V103" s="1">
        <v>-384661247</v>
      </c>
      <c r="W103" t="s">
        <v>296</v>
      </c>
      <c r="X103">
        <v>1</v>
      </c>
      <c r="Y103" t="s">
        <v>34</v>
      </c>
    </row>
    <row r="104" spans="1:25" x14ac:dyDescent="0.3">
      <c r="A104">
        <v>103</v>
      </c>
      <c r="B104">
        <v>103</v>
      </c>
      <c r="C104">
        <v>26484354000223</v>
      </c>
      <c r="D104">
        <v>12</v>
      </c>
      <c r="E104" t="s">
        <v>1583</v>
      </c>
      <c r="F104">
        <v>12</v>
      </c>
      <c r="G104" t="s">
        <v>1620</v>
      </c>
      <c r="H104" t="str">
        <f t="shared" si="1"/>
        <v>REDE 12 - BANDEIRA 12 - LOJA 103</v>
      </c>
      <c r="I104">
        <v>1</v>
      </c>
      <c r="J104" t="s">
        <v>26</v>
      </c>
      <c r="K104">
        <v>1</v>
      </c>
      <c r="L104" t="s">
        <v>297</v>
      </c>
      <c r="M104">
        <v>7</v>
      </c>
      <c r="N104" t="s">
        <v>294</v>
      </c>
      <c r="O104">
        <v>5</v>
      </c>
      <c r="P104" t="s">
        <v>237</v>
      </c>
      <c r="Q104" t="s">
        <v>238</v>
      </c>
      <c r="R104">
        <v>4</v>
      </c>
      <c r="S104" t="s">
        <v>239</v>
      </c>
      <c r="T104" t="s">
        <v>298</v>
      </c>
      <c r="U104" s="1">
        <v>-38797383</v>
      </c>
      <c r="V104" s="1">
        <v>-38461506</v>
      </c>
      <c r="W104" t="s">
        <v>299</v>
      </c>
      <c r="X104">
        <v>1</v>
      </c>
      <c r="Y104" t="s">
        <v>34</v>
      </c>
    </row>
    <row r="105" spans="1:25" x14ac:dyDescent="0.3">
      <c r="A105">
        <v>104</v>
      </c>
      <c r="B105">
        <v>104</v>
      </c>
      <c r="C105">
        <v>31370417000170</v>
      </c>
      <c r="D105">
        <v>12</v>
      </c>
      <c r="E105" t="s">
        <v>1583</v>
      </c>
      <c r="F105">
        <v>12</v>
      </c>
      <c r="G105" t="s">
        <v>1620</v>
      </c>
      <c r="H105" t="str">
        <f t="shared" si="1"/>
        <v>REDE 12 - BANDEIRA 12 - LOJA 104</v>
      </c>
      <c r="I105">
        <v>1</v>
      </c>
      <c r="J105" t="s">
        <v>26</v>
      </c>
      <c r="K105">
        <v>1</v>
      </c>
      <c r="L105" t="s">
        <v>300</v>
      </c>
      <c r="M105">
        <v>6</v>
      </c>
      <c r="N105" t="s">
        <v>236</v>
      </c>
      <c r="O105">
        <v>5</v>
      </c>
      <c r="P105" t="s">
        <v>237</v>
      </c>
      <c r="Q105" t="s">
        <v>238</v>
      </c>
      <c r="R105">
        <v>4</v>
      </c>
      <c r="S105" t="s">
        <v>239</v>
      </c>
      <c r="T105" t="s">
        <v>301</v>
      </c>
      <c r="U105" s="1">
        <v>-37372763</v>
      </c>
      <c r="V105" s="1">
        <v>-384969825</v>
      </c>
      <c r="W105" t="s">
        <v>302</v>
      </c>
      <c r="X105">
        <v>1</v>
      </c>
      <c r="Y105" t="s">
        <v>34</v>
      </c>
    </row>
    <row r="106" spans="1:25" x14ac:dyDescent="0.3">
      <c r="A106">
        <v>105</v>
      </c>
      <c r="B106">
        <v>105</v>
      </c>
      <c r="C106">
        <v>28396735000448</v>
      </c>
      <c r="D106">
        <v>12</v>
      </c>
      <c r="E106" t="s">
        <v>1583</v>
      </c>
      <c r="F106">
        <v>12</v>
      </c>
      <c r="G106" t="s">
        <v>1620</v>
      </c>
      <c r="H106" t="str">
        <f t="shared" si="1"/>
        <v>REDE 12 - BANDEIRA 12 - LOJA 105</v>
      </c>
      <c r="I106">
        <v>1</v>
      </c>
      <c r="J106" t="s">
        <v>26</v>
      </c>
      <c r="K106">
        <v>1</v>
      </c>
      <c r="L106" t="s">
        <v>303</v>
      </c>
      <c r="M106">
        <v>6</v>
      </c>
      <c r="N106" t="s">
        <v>236</v>
      </c>
      <c r="O106">
        <v>5</v>
      </c>
      <c r="P106" t="s">
        <v>237</v>
      </c>
      <c r="Q106" t="s">
        <v>238</v>
      </c>
      <c r="R106">
        <v>4</v>
      </c>
      <c r="S106" t="s">
        <v>239</v>
      </c>
      <c r="T106" t="s">
        <v>304</v>
      </c>
      <c r="U106" s="1">
        <v>-373157609999999</v>
      </c>
      <c r="V106" s="1">
        <v>-38491193</v>
      </c>
      <c r="W106" t="s">
        <v>305</v>
      </c>
      <c r="X106">
        <v>1</v>
      </c>
      <c r="Y106" t="s">
        <v>34</v>
      </c>
    </row>
    <row r="107" spans="1:25" x14ac:dyDescent="0.3">
      <c r="A107">
        <v>106</v>
      </c>
      <c r="B107">
        <v>106</v>
      </c>
      <c r="C107">
        <v>28274896000116</v>
      </c>
      <c r="D107">
        <v>12</v>
      </c>
      <c r="E107" t="s">
        <v>1583</v>
      </c>
      <c r="F107">
        <v>12</v>
      </c>
      <c r="G107" t="s">
        <v>1620</v>
      </c>
      <c r="H107" t="str">
        <f t="shared" si="1"/>
        <v>REDE 12 - BANDEIRA 12 - LOJA 106</v>
      </c>
      <c r="I107">
        <v>1</v>
      </c>
      <c r="J107" t="s">
        <v>26</v>
      </c>
      <c r="K107">
        <v>1</v>
      </c>
      <c r="L107" t="s">
        <v>306</v>
      </c>
      <c r="M107">
        <v>6</v>
      </c>
      <c r="N107" t="s">
        <v>236</v>
      </c>
      <c r="O107">
        <v>5</v>
      </c>
      <c r="P107" t="s">
        <v>237</v>
      </c>
      <c r="Q107" t="s">
        <v>238</v>
      </c>
      <c r="R107">
        <v>4</v>
      </c>
      <c r="S107" t="s">
        <v>239</v>
      </c>
      <c r="T107" t="s">
        <v>307</v>
      </c>
      <c r="U107" s="1">
        <v>-378361</v>
      </c>
      <c r="V107" s="1">
        <v>-384819533</v>
      </c>
      <c r="W107" t="s">
        <v>308</v>
      </c>
      <c r="X107">
        <v>1</v>
      </c>
      <c r="Y107" t="s">
        <v>34</v>
      </c>
    </row>
    <row r="108" spans="1:25" x14ac:dyDescent="0.3">
      <c r="A108">
        <v>107</v>
      </c>
      <c r="B108">
        <v>107</v>
      </c>
      <c r="C108">
        <v>28396735000367</v>
      </c>
      <c r="D108">
        <v>12</v>
      </c>
      <c r="E108" t="s">
        <v>1583</v>
      </c>
      <c r="F108">
        <v>12</v>
      </c>
      <c r="G108" t="s">
        <v>1620</v>
      </c>
      <c r="H108" t="str">
        <f t="shared" si="1"/>
        <v>REDE 12 - BANDEIRA 12 - LOJA 107</v>
      </c>
      <c r="I108">
        <v>1</v>
      </c>
      <c r="J108" t="s">
        <v>26</v>
      </c>
      <c r="K108">
        <v>1</v>
      </c>
      <c r="L108" t="s">
        <v>309</v>
      </c>
      <c r="M108">
        <v>6</v>
      </c>
      <c r="N108" t="s">
        <v>236</v>
      </c>
      <c r="O108">
        <v>5</v>
      </c>
      <c r="P108" t="s">
        <v>237</v>
      </c>
      <c r="Q108" t="s">
        <v>238</v>
      </c>
      <c r="R108">
        <v>4</v>
      </c>
      <c r="S108" t="s">
        <v>239</v>
      </c>
      <c r="T108" t="s">
        <v>310</v>
      </c>
      <c r="U108" s="1">
        <v>-38034153</v>
      </c>
      <c r="V108" s="1">
        <v>-384794717</v>
      </c>
      <c r="W108" t="s">
        <v>311</v>
      </c>
      <c r="X108">
        <v>1</v>
      </c>
      <c r="Y108" t="s">
        <v>34</v>
      </c>
    </row>
    <row r="109" spans="1:25" x14ac:dyDescent="0.3">
      <c r="A109">
        <v>108</v>
      </c>
      <c r="B109">
        <v>108</v>
      </c>
      <c r="C109">
        <v>28396735000286</v>
      </c>
      <c r="D109">
        <v>12</v>
      </c>
      <c r="E109" t="s">
        <v>1583</v>
      </c>
      <c r="F109">
        <v>12</v>
      </c>
      <c r="G109" t="s">
        <v>1620</v>
      </c>
      <c r="H109" t="str">
        <f t="shared" si="1"/>
        <v>REDE 12 - BANDEIRA 12 - LOJA 108</v>
      </c>
      <c r="I109">
        <v>1</v>
      </c>
      <c r="J109" t="s">
        <v>26</v>
      </c>
      <c r="K109">
        <v>1</v>
      </c>
      <c r="L109" t="s">
        <v>312</v>
      </c>
      <c r="M109">
        <v>6</v>
      </c>
      <c r="N109" t="s">
        <v>236</v>
      </c>
      <c r="O109">
        <v>5</v>
      </c>
      <c r="P109" t="s">
        <v>237</v>
      </c>
      <c r="Q109" t="s">
        <v>238</v>
      </c>
      <c r="R109">
        <v>4</v>
      </c>
      <c r="S109" t="s">
        <v>239</v>
      </c>
      <c r="T109" t="s">
        <v>313</v>
      </c>
      <c r="U109" s="1">
        <v>-375796</v>
      </c>
      <c r="V109" s="1">
        <v>-3848817</v>
      </c>
      <c r="W109" t="s">
        <v>314</v>
      </c>
      <c r="X109">
        <v>1</v>
      </c>
      <c r="Y109" t="s">
        <v>34</v>
      </c>
    </row>
    <row r="110" spans="1:25" x14ac:dyDescent="0.3">
      <c r="A110">
        <v>109</v>
      </c>
      <c r="B110">
        <v>109</v>
      </c>
      <c r="C110">
        <v>28396735000871</v>
      </c>
      <c r="D110">
        <v>12</v>
      </c>
      <c r="E110" t="s">
        <v>1583</v>
      </c>
      <c r="F110">
        <v>12</v>
      </c>
      <c r="G110" t="s">
        <v>1620</v>
      </c>
      <c r="H110" t="str">
        <f t="shared" si="1"/>
        <v>REDE 12 - BANDEIRA 12 - LOJA 109</v>
      </c>
      <c r="I110">
        <v>1</v>
      </c>
      <c r="J110" t="s">
        <v>26</v>
      </c>
      <c r="K110">
        <v>1</v>
      </c>
      <c r="L110" t="s">
        <v>315</v>
      </c>
      <c r="M110">
        <v>6</v>
      </c>
      <c r="N110" t="s">
        <v>236</v>
      </c>
      <c r="O110">
        <v>5</v>
      </c>
      <c r="P110" t="s">
        <v>237</v>
      </c>
      <c r="Q110" t="s">
        <v>238</v>
      </c>
      <c r="R110">
        <v>4</v>
      </c>
      <c r="S110" t="s">
        <v>239</v>
      </c>
      <c r="T110" t="s">
        <v>316</v>
      </c>
      <c r="U110" s="1">
        <v>-38139469</v>
      </c>
      <c r="V110" s="1">
        <v>-384994048999999</v>
      </c>
      <c r="W110" t="s">
        <v>317</v>
      </c>
      <c r="X110">
        <v>1</v>
      </c>
      <c r="Y110" t="s">
        <v>34</v>
      </c>
    </row>
    <row r="111" spans="1:25" x14ac:dyDescent="0.3">
      <c r="A111">
        <v>110</v>
      </c>
      <c r="B111">
        <v>110</v>
      </c>
      <c r="C111">
        <v>28396735000103</v>
      </c>
      <c r="D111">
        <v>12</v>
      </c>
      <c r="E111" t="s">
        <v>1583</v>
      </c>
      <c r="F111">
        <v>12</v>
      </c>
      <c r="G111" t="s">
        <v>1620</v>
      </c>
      <c r="H111" t="str">
        <f t="shared" si="1"/>
        <v>REDE 12 - BANDEIRA 12 - LOJA 110</v>
      </c>
      <c r="I111">
        <v>1</v>
      </c>
      <c r="J111" t="s">
        <v>26</v>
      </c>
      <c r="K111">
        <v>1</v>
      </c>
      <c r="L111" t="s">
        <v>318</v>
      </c>
      <c r="M111">
        <v>6</v>
      </c>
      <c r="N111" t="s">
        <v>236</v>
      </c>
      <c r="O111">
        <v>5</v>
      </c>
      <c r="P111" t="s">
        <v>237</v>
      </c>
      <c r="Q111" t="s">
        <v>238</v>
      </c>
      <c r="R111">
        <v>4</v>
      </c>
      <c r="S111" t="s">
        <v>239</v>
      </c>
      <c r="T111" t="s">
        <v>319</v>
      </c>
      <c r="U111" s="1">
        <v>-37408807</v>
      </c>
      <c r="V111" s="1">
        <v>-384735005</v>
      </c>
      <c r="W111" t="s">
        <v>320</v>
      </c>
      <c r="X111">
        <v>1</v>
      </c>
      <c r="Y111" t="s">
        <v>34</v>
      </c>
    </row>
    <row r="112" spans="1:25" x14ac:dyDescent="0.3">
      <c r="A112">
        <v>111</v>
      </c>
      <c r="B112">
        <v>111</v>
      </c>
      <c r="C112">
        <v>28396735000790</v>
      </c>
      <c r="D112">
        <v>12</v>
      </c>
      <c r="E112" t="s">
        <v>1583</v>
      </c>
      <c r="F112">
        <v>12</v>
      </c>
      <c r="G112" t="s">
        <v>1620</v>
      </c>
      <c r="H112" t="str">
        <f t="shared" si="1"/>
        <v>REDE 12 - BANDEIRA 12 - LOJA 111</v>
      </c>
      <c r="I112">
        <v>1</v>
      </c>
      <c r="J112" t="s">
        <v>26</v>
      </c>
      <c r="K112">
        <v>1</v>
      </c>
      <c r="L112" t="s">
        <v>321</v>
      </c>
      <c r="M112">
        <v>8</v>
      </c>
      <c r="N112" t="s">
        <v>322</v>
      </c>
      <c r="O112">
        <v>5</v>
      </c>
      <c r="P112" t="s">
        <v>237</v>
      </c>
      <c r="Q112" t="s">
        <v>238</v>
      </c>
      <c r="R112">
        <v>4</v>
      </c>
      <c r="S112" t="s">
        <v>239</v>
      </c>
      <c r="T112" t="s">
        <v>323</v>
      </c>
      <c r="U112" s="1">
        <v>-38782031</v>
      </c>
      <c r="V112" s="1">
        <v>-386214853</v>
      </c>
      <c r="W112" t="s">
        <v>221</v>
      </c>
      <c r="X112">
        <v>1</v>
      </c>
      <c r="Y112" t="s">
        <v>34</v>
      </c>
    </row>
    <row r="113" spans="1:25" x14ac:dyDescent="0.3">
      <c r="A113">
        <v>112</v>
      </c>
      <c r="B113">
        <v>112</v>
      </c>
      <c r="C113">
        <v>28688088000103</v>
      </c>
      <c r="D113">
        <v>12</v>
      </c>
      <c r="E113" t="s">
        <v>1583</v>
      </c>
      <c r="F113">
        <v>12</v>
      </c>
      <c r="G113" t="s">
        <v>1620</v>
      </c>
      <c r="H113" t="str">
        <f t="shared" si="1"/>
        <v>REDE 12 - BANDEIRA 12 - LOJA 112</v>
      </c>
      <c r="I113">
        <v>1</v>
      </c>
      <c r="J113" t="s">
        <v>26</v>
      </c>
      <c r="K113">
        <v>1</v>
      </c>
      <c r="L113" t="s">
        <v>324</v>
      </c>
      <c r="M113">
        <v>6</v>
      </c>
      <c r="N113" t="s">
        <v>236</v>
      </c>
      <c r="O113">
        <v>5</v>
      </c>
      <c r="P113" t="s">
        <v>237</v>
      </c>
      <c r="Q113" t="s">
        <v>238</v>
      </c>
      <c r="R113">
        <v>4</v>
      </c>
      <c r="S113" t="s">
        <v>239</v>
      </c>
      <c r="T113" t="s">
        <v>325</v>
      </c>
      <c r="U113" s="1">
        <v>-37792758</v>
      </c>
      <c r="V113" s="1">
        <v>-385597302</v>
      </c>
      <c r="W113" t="s">
        <v>326</v>
      </c>
      <c r="X113">
        <v>1</v>
      </c>
      <c r="Y113" t="s">
        <v>34</v>
      </c>
    </row>
    <row r="114" spans="1:25" x14ac:dyDescent="0.3">
      <c r="A114">
        <v>113</v>
      </c>
      <c r="B114">
        <v>113</v>
      </c>
      <c r="C114">
        <v>28396735000600</v>
      </c>
      <c r="D114">
        <v>12</v>
      </c>
      <c r="E114" t="s">
        <v>1583</v>
      </c>
      <c r="F114">
        <v>12</v>
      </c>
      <c r="G114" t="s">
        <v>1620</v>
      </c>
      <c r="H114" t="str">
        <f t="shared" si="1"/>
        <v>REDE 12 - BANDEIRA 12 - LOJA 113</v>
      </c>
      <c r="I114">
        <v>1</v>
      </c>
      <c r="J114" t="s">
        <v>26</v>
      </c>
      <c r="K114">
        <v>1</v>
      </c>
      <c r="L114" t="s">
        <v>327</v>
      </c>
      <c r="M114">
        <v>6</v>
      </c>
      <c r="N114" t="s">
        <v>236</v>
      </c>
      <c r="O114">
        <v>5</v>
      </c>
      <c r="P114" t="s">
        <v>237</v>
      </c>
      <c r="Q114" t="s">
        <v>238</v>
      </c>
      <c r="R114">
        <v>4</v>
      </c>
      <c r="S114" t="s">
        <v>239</v>
      </c>
      <c r="T114" t="s">
        <v>328</v>
      </c>
      <c r="U114" s="1">
        <v>-37755437</v>
      </c>
      <c r="V114" s="1">
        <v>-385619871</v>
      </c>
      <c r="W114" t="s">
        <v>326</v>
      </c>
      <c r="X114">
        <v>1</v>
      </c>
      <c r="Y114" t="s">
        <v>34</v>
      </c>
    </row>
    <row r="115" spans="1:25" x14ac:dyDescent="0.3">
      <c r="A115">
        <v>114</v>
      </c>
      <c r="B115">
        <v>114</v>
      </c>
      <c r="C115">
        <v>28396735000529</v>
      </c>
      <c r="D115">
        <v>12</v>
      </c>
      <c r="E115" t="s">
        <v>1583</v>
      </c>
      <c r="F115">
        <v>12</v>
      </c>
      <c r="G115" t="s">
        <v>1620</v>
      </c>
      <c r="H115" t="str">
        <f t="shared" si="1"/>
        <v>REDE 12 - BANDEIRA 12 - LOJA 114</v>
      </c>
      <c r="I115">
        <v>1</v>
      </c>
      <c r="J115" t="s">
        <v>26</v>
      </c>
      <c r="K115">
        <v>1</v>
      </c>
      <c r="L115" t="s">
        <v>329</v>
      </c>
      <c r="M115">
        <v>6</v>
      </c>
      <c r="N115" t="s">
        <v>236</v>
      </c>
      <c r="O115">
        <v>5</v>
      </c>
      <c r="P115" t="s">
        <v>237</v>
      </c>
      <c r="Q115" t="s">
        <v>238</v>
      </c>
      <c r="R115">
        <v>4</v>
      </c>
      <c r="S115" t="s">
        <v>239</v>
      </c>
      <c r="T115" t="s">
        <v>330</v>
      </c>
      <c r="U115" s="1">
        <v>-37255783</v>
      </c>
      <c r="V115" s="1">
        <v>-385670526</v>
      </c>
      <c r="W115" t="s">
        <v>331</v>
      </c>
      <c r="X115">
        <v>1</v>
      </c>
      <c r="Y115" t="s">
        <v>34</v>
      </c>
    </row>
    <row r="116" spans="1:25" x14ac:dyDescent="0.3">
      <c r="A116">
        <v>115</v>
      </c>
      <c r="B116">
        <v>115</v>
      </c>
      <c r="C116">
        <v>44103435000137</v>
      </c>
      <c r="D116">
        <v>13</v>
      </c>
      <c r="E116" t="s">
        <v>1584</v>
      </c>
      <c r="F116">
        <v>13</v>
      </c>
      <c r="G116" t="s">
        <v>1621</v>
      </c>
      <c r="H116" t="str">
        <f t="shared" si="1"/>
        <v>REDE 13 - BANDEIRA 13 - LOJA 115</v>
      </c>
      <c r="I116">
        <v>1</v>
      </c>
      <c r="J116" t="s">
        <v>26</v>
      </c>
      <c r="K116">
        <v>1</v>
      </c>
      <c r="L116" t="s">
        <v>318</v>
      </c>
      <c r="M116">
        <v>6</v>
      </c>
      <c r="N116" t="s">
        <v>236</v>
      </c>
      <c r="O116">
        <v>5</v>
      </c>
      <c r="P116" t="s">
        <v>237</v>
      </c>
      <c r="Q116" t="s">
        <v>238</v>
      </c>
      <c r="R116">
        <v>4</v>
      </c>
      <c r="S116" t="s">
        <v>239</v>
      </c>
      <c r="T116" t="s">
        <v>319</v>
      </c>
      <c r="U116" s="1">
        <v>-37408807</v>
      </c>
      <c r="V116" s="1">
        <v>-384735005</v>
      </c>
      <c r="W116" t="s">
        <v>320</v>
      </c>
      <c r="X116">
        <v>1</v>
      </c>
      <c r="Y116" t="s">
        <v>34</v>
      </c>
    </row>
    <row r="117" spans="1:25" x14ac:dyDescent="0.3">
      <c r="A117">
        <v>116</v>
      </c>
      <c r="B117">
        <v>116</v>
      </c>
      <c r="C117">
        <v>38461262000126</v>
      </c>
      <c r="D117">
        <v>13</v>
      </c>
      <c r="E117" t="s">
        <v>1584</v>
      </c>
      <c r="F117">
        <v>13</v>
      </c>
      <c r="G117" t="s">
        <v>1621</v>
      </c>
      <c r="H117" t="str">
        <f t="shared" si="1"/>
        <v>REDE 13 - BANDEIRA 13 - LOJA 116</v>
      </c>
      <c r="I117">
        <v>1</v>
      </c>
      <c r="J117" t="s">
        <v>26</v>
      </c>
      <c r="K117">
        <v>1</v>
      </c>
      <c r="L117" t="s">
        <v>332</v>
      </c>
      <c r="M117">
        <v>2</v>
      </c>
      <c r="N117" t="s">
        <v>36</v>
      </c>
      <c r="O117">
        <v>2</v>
      </c>
      <c r="P117" t="s">
        <v>37</v>
      </c>
      <c r="Q117" t="s">
        <v>38</v>
      </c>
      <c r="R117">
        <v>2</v>
      </c>
      <c r="S117" t="s">
        <v>39</v>
      </c>
      <c r="T117" t="s">
        <v>333</v>
      </c>
      <c r="U117" s="1">
        <v>-235673953</v>
      </c>
      <c r="V117" s="1">
        <v>-466866958</v>
      </c>
      <c r="W117" t="s">
        <v>334</v>
      </c>
      <c r="X117">
        <v>1</v>
      </c>
      <c r="Y117" t="s">
        <v>34</v>
      </c>
    </row>
    <row r="118" spans="1:25" x14ac:dyDescent="0.3">
      <c r="A118">
        <v>117</v>
      </c>
      <c r="B118">
        <v>117</v>
      </c>
      <c r="C118">
        <v>35202466000154</v>
      </c>
      <c r="D118">
        <v>13</v>
      </c>
      <c r="E118" t="s">
        <v>1584</v>
      </c>
      <c r="F118">
        <v>13</v>
      </c>
      <c r="G118" t="s">
        <v>1621</v>
      </c>
      <c r="H118" t="str">
        <f t="shared" si="1"/>
        <v>REDE 13 - BANDEIRA 13 - LOJA 117</v>
      </c>
      <c r="I118">
        <v>1</v>
      </c>
      <c r="J118" t="s">
        <v>26</v>
      </c>
      <c r="K118">
        <v>1</v>
      </c>
      <c r="L118" t="s">
        <v>335</v>
      </c>
      <c r="M118">
        <v>1</v>
      </c>
      <c r="N118" t="s">
        <v>28</v>
      </c>
      <c r="O118">
        <v>1</v>
      </c>
      <c r="P118" t="s">
        <v>29</v>
      </c>
      <c r="Q118" t="s">
        <v>30</v>
      </c>
      <c r="R118">
        <v>1</v>
      </c>
      <c r="S118" t="s">
        <v>31</v>
      </c>
      <c r="T118" t="s">
        <v>336</v>
      </c>
      <c r="U118" s="1">
        <v>-254501054</v>
      </c>
      <c r="V118" s="1">
        <v>-492882425</v>
      </c>
      <c r="W118" t="s">
        <v>33</v>
      </c>
      <c r="X118">
        <v>1</v>
      </c>
      <c r="Y118" t="s">
        <v>34</v>
      </c>
    </row>
    <row r="119" spans="1:25" x14ac:dyDescent="0.3">
      <c r="A119">
        <v>118</v>
      </c>
      <c r="B119">
        <v>118</v>
      </c>
      <c r="C119">
        <v>32828171000108</v>
      </c>
      <c r="D119">
        <v>13</v>
      </c>
      <c r="E119" t="s">
        <v>1584</v>
      </c>
      <c r="F119">
        <v>13</v>
      </c>
      <c r="G119" t="s">
        <v>1621</v>
      </c>
      <c r="H119" t="str">
        <f t="shared" si="1"/>
        <v>REDE 13 - BANDEIRA 13 - LOJA 118</v>
      </c>
      <c r="I119">
        <v>1</v>
      </c>
      <c r="J119" t="s">
        <v>26</v>
      </c>
      <c r="K119">
        <v>1</v>
      </c>
      <c r="L119" t="s">
        <v>337</v>
      </c>
      <c r="M119">
        <v>1</v>
      </c>
      <c r="N119" t="s">
        <v>28</v>
      </c>
      <c r="O119">
        <v>1</v>
      </c>
      <c r="P119" t="s">
        <v>29</v>
      </c>
      <c r="Q119" t="s">
        <v>30</v>
      </c>
      <c r="R119">
        <v>1</v>
      </c>
      <c r="S119" t="s">
        <v>31</v>
      </c>
      <c r="T119" t="s">
        <v>228</v>
      </c>
      <c r="U119" s="1">
        <v>-254343207</v>
      </c>
      <c r="V119" s="1">
        <v>-493035536</v>
      </c>
      <c r="W119" t="s">
        <v>229</v>
      </c>
      <c r="X119">
        <v>1</v>
      </c>
      <c r="Y119" t="s">
        <v>34</v>
      </c>
    </row>
    <row r="120" spans="1:25" x14ac:dyDescent="0.3">
      <c r="A120">
        <v>119</v>
      </c>
      <c r="B120">
        <v>119</v>
      </c>
      <c r="C120">
        <v>37789218000187</v>
      </c>
      <c r="D120">
        <v>14</v>
      </c>
      <c r="E120" t="s">
        <v>1585</v>
      </c>
      <c r="F120">
        <v>14</v>
      </c>
      <c r="G120" t="s">
        <v>1622</v>
      </c>
      <c r="H120" t="str">
        <f t="shared" si="1"/>
        <v>REDE 14 - BANDEIRA 14 - LOJA 119</v>
      </c>
      <c r="I120">
        <v>1</v>
      </c>
      <c r="J120" t="s">
        <v>26</v>
      </c>
      <c r="K120">
        <v>2</v>
      </c>
      <c r="L120" t="s">
        <v>338</v>
      </c>
      <c r="M120">
        <v>4</v>
      </c>
      <c r="N120" t="s">
        <v>60</v>
      </c>
      <c r="O120">
        <v>4</v>
      </c>
      <c r="P120" t="s">
        <v>61</v>
      </c>
      <c r="Q120" t="s">
        <v>62</v>
      </c>
      <c r="R120">
        <v>3</v>
      </c>
      <c r="S120" t="s">
        <v>63</v>
      </c>
      <c r="T120" t="s">
        <v>339</v>
      </c>
      <c r="U120" s="1">
        <v>-158277639</v>
      </c>
      <c r="V120" s="1">
        <v>-479249014</v>
      </c>
      <c r="W120" t="s">
        <v>83</v>
      </c>
      <c r="X120">
        <v>0</v>
      </c>
      <c r="Y120" t="s">
        <v>46</v>
      </c>
    </row>
    <row r="121" spans="1:25" x14ac:dyDescent="0.3">
      <c r="A121">
        <v>120</v>
      </c>
      <c r="B121">
        <v>120</v>
      </c>
      <c r="C121">
        <v>37789218000268</v>
      </c>
      <c r="D121">
        <v>14</v>
      </c>
      <c r="E121" t="s">
        <v>1585</v>
      </c>
      <c r="F121">
        <v>14</v>
      </c>
      <c r="G121" t="s">
        <v>1622</v>
      </c>
      <c r="H121" t="str">
        <f t="shared" si="1"/>
        <v>REDE 14 - BANDEIRA 14 - LOJA 120</v>
      </c>
      <c r="I121">
        <v>1</v>
      </c>
      <c r="J121" t="s">
        <v>26</v>
      </c>
      <c r="K121">
        <v>2</v>
      </c>
      <c r="L121" t="s">
        <v>340</v>
      </c>
      <c r="M121">
        <v>4</v>
      </c>
      <c r="N121" t="s">
        <v>60</v>
      </c>
      <c r="O121">
        <v>4</v>
      </c>
      <c r="P121" t="s">
        <v>61</v>
      </c>
      <c r="Q121" t="s">
        <v>62</v>
      </c>
      <c r="R121">
        <v>3</v>
      </c>
      <c r="S121" t="s">
        <v>63</v>
      </c>
      <c r="T121" t="s">
        <v>341</v>
      </c>
      <c r="U121" s="1">
        <v>-157507513</v>
      </c>
      <c r="V121" s="1">
        <v>-478855873</v>
      </c>
      <c r="W121" t="s">
        <v>65</v>
      </c>
      <c r="X121">
        <v>0</v>
      </c>
      <c r="Y121" t="s">
        <v>46</v>
      </c>
    </row>
    <row r="122" spans="1:25" x14ac:dyDescent="0.3">
      <c r="A122">
        <v>121</v>
      </c>
      <c r="B122">
        <v>121</v>
      </c>
      <c r="C122">
        <v>47491131000182</v>
      </c>
      <c r="D122">
        <v>14</v>
      </c>
      <c r="E122" t="s">
        <v>1585</v>
      </c>
      <c r="F122">
        <v>14</v>
      </c>
      <c r="G122" t="s">
        <v>1622</v>
      </c>
      <c r="H122" t="str">
        <f t="shared" si="1"/>
        <v>REDE 14 - BANDEIRA 14 - LOJA 121</v>
      </c>
      <c r="I122">
        <v>1</v>
      </c>
      <c r="J122" t="s">
        <v>26</v>
      </c>
      <c r="K122">
        <v>2</v>
      </c>
      <c r="L122" t="s">
        <v>342</v>
      </c>
      <c r="M122">
        <v>2</v>
      </c>
      <c r="N122" t="s">
        <v>36</v>
      </c>
      <c r="O122">
        <v>2</v>
      </c>
      <c r="P122" t="s">
        <v>37</v>
      </c>
      <c r="Q122" t="s">
        <v>38</v>
      </c>
      <c r="R122">
        <v>2</v>
      </c>
      <c r="S122" t="s">
        <v>39</v>
      </c>
      <c r="T122" t="s">
        <v>343</v>
      </c>
      <c r="U122" s="1">
        <v>-23478272</v>
      </c>
      <c r="V122" s="1">
        <v>-466095749</v>
      </c>
      <c r="W122" t="s">
        <v>344</v>
      </c>
      <c r="X122">
        <v>1</v>
      </c>
      <c r="Y122" t="s">
        <v>34</v>
      </c>
    </row>
    <row r="123" spans="1:25" x14ac:dyDescent="0.3">
      <c r="A123">
        <v>122</v>
      </c>
      <c r="B123">
        <v>122</v>
      </c>
      <c r="C123">
        <v>34621861000109</v>
      </c>
      <c r="D123">
        <v>14</v>
      </c>
      <c r="E123" t="s">
        <v>1585</v>
      </c>
      <c r="F123">
        <v>14</v>
      </c>
      <c r="G123" t="s">
        <v>1622</v>
      </c>
      <c r="H123" t="str">
        <f t="shared" si="1"/>
        <v>REDE 14 - BANDEIRA 14 - LOJA 122</v>
      </c>
      <c r="I123">
        <v>1</v>
      </c>
      <c r="J123" t="s">
        <v>26</v>
      </c>
      <c r="K123">
        <v>2</v>
      </c>
      <c r="L123" t="s">
        <v>345</v>
      </c>
      <c r="M123">
        <v>2</v>
      </c>
      <c r="N123" t="s">
        <v>36</v>
      </c>
      <c r="O123">
        <v>2</v>
      </c>
      <c r="P123" t="s">
        <v>37</v>
      </c>
      <c r="Q123" t="s">
        <v>38</v>
      </c>
      <c r="R123">
        <v>2</v>
      </c>
      <c r="S123" t="s">
        <v>39</v>
      </c>
      <c r="T123" t="s">
        <v>346</v>
      </c>
      <c r="U123" s="1">
        <v>-235971794</v>
      </c>
      <c r="V123" s="1">
        <v>-466853016</v>
      </c>
      <c r="W123" t="s">
        <v>347</v>
      </c>
      <c r="X123">
        <v>1</v>
      </c>
      <c r="Y123" t="s">
        <v>34</v>
      </c>
    </row>
    <row r="124" spans="1:25" x14ac:dyDescent="0.3">
      <c r="A124">
        <v>123</v>
      </c>
      <c r="B124">
        <v>123</v>
      </c>
      <c r="C124">
        <v>26650674000125</v>
      </c>
      <c r="D124">
        <v>14</v>
      </c>
      <c r="E124" t="s">
        <v>1585</v>
      </c>
      <c r="F124">
        <v>14</v>
      </c>
      <c r="G124" t="s">
        <v>1622</v>
      </c>
      <c r="H124" t="str">
        <f t="shared" si="1"/>
        <v>REDE 14 - BANDEIRA 14 - LOJA 123</v>
      </c>
      <c r="I124">
        <v>1</v>
      </c>
      <c r="J124" t="s">
        <v>26</v>
      </c>
      <c r="K124">
        <v>2</v>
      </c>
      <c r="L124" t="s">
        <v>348</v>
      </c>
      <c r="M124">
        <v>1</v>
      </c>
      <c r="N124" t="s">
        <v>28</v>
      </c>
      <c r="O124">
        <v>1</v>
      </c>
      <c r="P124" t="s">
        <v>29</v>
      </c>
      <c r="Q124" t="s">
        <v>30</v>
      </c>
      <c r="R124">
        <v>1</v>
      </c>
      <c r="S124" t="s">
        <v>31</v>
      </c>
      <c r="T124" t="s">
        <v>349</v>
      </c>
      <c r="U124" s="1">
        <v>-254418001</v>
      </c>
      <c r="V124" s="1">
        <v>-492766397</v>
      </c>
      <c r="W124" t="s">
        <v>350</v>
      </c>
      <c r="X124">
        <v>1</v>
      </c>
      <c r="Y124" t="s">
        <v>34</v>
      </c>
    </row>
    <row r="125" spans="1:25" x14ac:dyDescent="0.3">
      <c r="A125">
        <v>124</v>
      </c>
      <c r="B125">
        <v>124</v>
      </c>
      <c r="C125">
        <v>1276256002566</v>
      </c>
      <c r="D125">
        <v>15</v>
      </c>
      <c r="E125" t="s">
        <v>1586</v>
      </c>
      <c r="F125">
        <v>15</v>
      </c>
      <c r="G125" t="s">
        <v>1623</v>
      </c>
      <c r="H125" t="str">
        <f t="shared" si="1"/>
        <v>REDE 15 - BANDEIRA 15 - LOJA 124</v>
      </c>
      <c r="I125">
        <v>2</v>
      </c>
      <c r="J125" t="s">
        <v>1646</v>
      </c>
      <c r="K125">
        <v>3</v>
      </c>
      <c r="L125" t="s">
        <v>351</v>
      </c>
      <c r="M125">
        <v>4</v>
      </c>
      <c r="N125" t="s">
        <v>60</v>
      </c>
      <c r="O125">
        <v>4</v>
      </c>
      <c r="P125" t="s">
        <v>61</v>
      </c>
      <c r="Q125" t="s">
        <v>62</v>
      </c>
      <c r="R125">
        <v>3</v>
      </c>
      <c r="S125" t="s">
        <v>63</v>
      </c>
      <c r="T125" t="s">
        <v>352</v>
      </c>
      <c r="U125" s="1">
        <v>-158425239</v>
      </c>
      <c r="V125" s="1">
        <v>-48220487</v>
      </c>
      <c r="W125" t="s">
        <v>104</v>
      </c>
      <c r="X125">
        <v>1</v>
      </c>
      <c r="Y125" t="s">
        <v>34</v>
      </c>
    </row>
    <row r="126" spans="1:25" x14ac:dyDescent="0.3">
      <c r="A126">
        <v>125</v>
      </c>
      <c r="B126">
        <v>125</v>
      </c>
      <c r="C126">
        <v>1276256002485</v>
      </c>
      <c r="D126">
        <v>15</v>
      </c>
      <c r="E126" t="s">
        <v>1586</v>
      </c>
      <c r="F126">
        <v>15</v>
      </c>
      <c r="G126" t="s">
        <v>1623</v>
      </c>
      <c r="H126" t="str">
        <f t="shared" si="1"/>
        <v>REDE 15 - BANDEIRA 15 - LOJA 125</v>
      </c>
      <c r="I126">
        <v>2</v>
      </c>
      <c r="J126" t="s">
        <v>1646</v>
      </c>
      <c r="K126">
        <v>3</v>
      </c>
      <c r="L126" t="s">
        <v>353</v>
      </c>
      <c r="M126">
        <v>4</v>
      </c>
      <c r="N126" t="s">
        <v>60</v>
      </c>
      <c r="O126">
        <v>4</v>
      </c>
      <c r="P126" t="s">
        <v>61</v>
      </c>
      <c r="Q126" t="s">
        <v>62</v>
      </c>
      <c r="R126">
        <v>3</v>
      </c>
      <c r="S126" t="s">
        <v>63</v>
      </c>
      <c r="T126" t="s">
        <v>354</v>
      </c>
      <c r="U126" s="1">
        <v>-158235115</v>
      </c>
      <c r="V126" s="1">
        <v>-479790487</v>
      </c>
      <c r="W126" t="s">
        <v>355</v>
      </c>
      <c r="X126">
        <v>1</v>
      </c>
      <c r="Y126" t="s">
        <v>34</v>
      </c>
    </row>
    <row r="127" spans="1:25" x14ac:dyDescent="0.3">
      <c r="A127">
        <v>126</v>
      </c>
      <c r="B127">
        <v>126</v>
      </c>
      <c r="C127">
        <v>1276256003457</v>
      </c>
      <c r="D127">
        <v>15</v>
      </c>
      <c r="E127" t="s">
        <v>1586</v>
      </c>
      <c r="F127">
        <v>15</v>
      </c>
      <c r="G127" t="s">
        <v>1623</v>
      </c>
      <c r="H127" t="str">
        <f t="shared" si="1"/>
        <v>REDE 15 - BANDEIRA 15 - LOJA 126</v>
      </c>
      <c r="I127">
        <v>2</v>
      </c>
      <c r="J127" t="s">
        <v>1646</v>
      </c>
      <c r="K127">
        <v>3</v>
      </c>
      <c r="L127" t="s">
        <v>356</v>
      </c>
      <c r="M127">
        <v>4</v>
      </c>
      <c r="N127" t="s">
        <v>60</v>
      </c>
      <c r="O127">
        <v>4</v>
      </c>
      <c r="P127" t="s">
        <v>61</v>
      </c>
      <c r="Q127" t="s">
        <v>62</v>
      </c>
      <c r="R127">
        <v>3</v>
      </c>
      <c r="S127" t="s">
        <v>63</v>
      </c>
      <c r="T127" t="s">
        <v>357</v>
      </c>
      <c r="U127" s="1">
        <v>-158376816267646</v>
      </c>
      <c r="V127" s="1">
        <v>-480324274423966</v>
      </c>
      <c r="W127" t="s">
        <v>75</v>
      </c>
      <c r="X127">
        <v>1</v>
      </c>
      <c r="Y127" t="s">
        <v>34</v>
      </c>
    </row>
    <row r="128" spans="1:25" x14ac:dyDescent="0.3">
      <c r="A128">
        <v>127</v>
      </c>
      <c r="B128">
        <v>127</v>
      </c>
      <c r="C128">
        <v>1276256003880</v>
      </c>
      <c r="D128">
        <v>15</v>
      </c>
      <c r="E128" t="s">
        <v>1586</v>
      </c>
      <c r="F128">
        <v>15</v>
      </c>
      <c r="G128" t="s">
        <v>1623</v>
      </c>
      <c r="H128" t="str">
        <f t="shared" si="1"/>
        <v>REDE 15 - BANDEIRA 15 - LOJA 127</v>
      </c>
      <c r="I128">
        <v>2</v>
      </c>
      <c r="J128" t="s">
        <v>1646</v>
      </c>
      <c r="K128">
        <v>3</v>
      </c>
      <c r="L128" t="s">
        <v>358</v>
      </c>
      <c r="M128">
        <v>4</v>
      </c>
      <c r="N128" t="s">
        <v>60</v>
      </c>
      <c r="O128">
        <v>4</v>
      </c>
      <c r="P128" t="s">
        <v>61</v>
      </c>
      <c r="Q128" t="s">
        <v>62</v>
      </c>
      <c r="R128">
        <v>3</v>
      </c>
      <c r="S128" t="s">
        <v>63</v>
      </c>
      <c r="T128" t="s">
        <v>359</v>
      </c>
      <c r="U128" s="1">
        <v>-158277639</v>
      </c>
      <c r="V128" s="1">
        <v>-479249014</v>
      </c>
      <c r="W128" t="s">
        <v>95</v>
      </c>
      <c r="X128">
        <v>1</v>
      </c>
      <c r="Y128" t="s">
        <v>34</v>
      </c>
    </row>
    <row r="129" spans="1:25" x14ac:dyDescent="0.3">
      <c r="A129">
        <v>128</v>
      </c>
      <c r="B129">
        <v>128</v>
      </c>
      <c r="C129">
        <v>1276256003376</v>
      </c>
      <c r="D129">
        <v>15</v>
      </c>
      <c r="E129" t="s">
        <v>1586</v>
      </c>
      <c r="F129">
        <v>15</v>
      </c>
      <c r="G129" t="s">
        <v>1623</v>
      </c>
      <c r="H129" t="str">
        <f t="shared" si="1"/>
        <v>REDE 15 - BANDEIRA 15 - LOJA 128</v>
      </c>
      <c r="I129">
        <v>2</v>
      </c>
      <c r="J129" t="s">
        <v>1646</v>
      </c>
      <c r="K129">
        <v>3</v>
      </c>
      <c r="L129" t="s">
        <v>360</v>
      </c>
      <c r="M129">
        <v>4</v>
      </c>
      <c r="N129" t="s">
        <v>60</v>
      </c>
      <c r="O129">
        <v>4</v>
      </c>
      <c r="P129" t="s">
        <v>61</v>
      </c>
      <c r="Q129" t="s">
        <v>62</v>
      </c>
      <c r="R129">
        <v>3</v>
      </c>
      <c r="S129" t="s">
        <v>63</v>
      </c>
      <c r="T129" t="s">
        <v>361</v>
      </c>
      <c r="U129" s="1">
        <v>-15839370</v>
      </c>
      <c r="V129" s="1">
        <v>-48038405</v>
      </c>
      <c r="W129" t="s">
        <v>104</v>
      </c>
      <c r="X129">
        <v>1</v>
      </c>
      <c r="Y129" t="s">
        <v>34</v>
      </c>
    </row>
    <row r="130" spans="1:25" x14ac:dyDescent="0.3">
      <c r="A130">
        <v>129</v>
      </c>
      <c r="B130">
        <v>129</v>
      </c>
      <c r="C130">
        <v>1276256003961</v>
      </c>
      <c r="D130">
        <v>15</v>
      </c>
      <c r="E130" t="s">
        <v>1586</v>
      </c>
      <c r="F130">
        <v>15</v>
      </c>
      <c r="G130" t="s">
        <v>1623</v>
      </c>
      <c r="H130" t="str">
        <f t="shared" si="1"/>
        <v>REDE 15 - BANDEIRA 15 - LOJA 129</v>
      </c>
      <c r="I130">
        <v>2</v>
      </c>
      <c r="J130" t="s">
        <v>1646</v>
      </c>
      <c r="K130">
        <v>3</v>
      </c>
      <c r="L130" t="s">
        <v>362</v>
      </c>
      <c r="M130">
        <v>4</v>
      </c>
      <c r="N130" t="s">
        <v>60</v>
      </c>
      <c r="O130">
        <v>4</v>
      </c>
      <c r="P130" t="s">
        <v>61</v>
      </c>
      <c r="Q130" t="s">
        <v>62</v>
      </c>
      <c r="R130">
        <v>3</v>
      </c>
      <c r="S130" t="s">
        <v>63</v>
      </c>
      <c r="T130" t="s">
        <v>363</v>
      </c>
      <c r="U130" s="1">
        <v>-158407231</v>
      </c>
      <c r="V130" s="1">
        <v>-479726351</v>
      </c>
      <c r="W130" t="s">
        <v>146</v>
      </c>
      <c r="X130">
        <v>1</v>
      </c>
      <c r="Y130" t="s">
        <v>34</v>
      </c>
    </row>
    <row r="131" spans="1:25" x14ac:dyDescent="0.3">
      <c r="A131">
        <v>130</v>
      </c>
      <c r="B131">
        <v>130</v>
      </c>
      <c r="C131">
        <v>1276256005743</v>
      </c>
      <c r="D131">
        <v>15</v>
      </c>
      <c r="E131" t="s">
        <v>1586</v>
      </c>
      <c r="F131">
        <v>15</v>
      </c>
      <c r="G131" t="s">
        <v>1623</v>
      </c>
      <c r="H131" t="str">
        <f t="shared" ref="H131:H194" si="2">G131 &amp; " - "&amp; E131 &amp;" - LOJA " &amp;B131</f>
        <v>REDE 15 - BANDEIRA 15 - LOJA 130</v>
      </c>
      <c r="I131">
        <v>2</v>
      </c>
      <c r="J131" t="s">
        <v>1646</v>
      </c>
      <c r="K131">
        <v>3</v>
      </c>
      <c r="L131" t="s">
        <v>364</v>
      </c>
      <c r="M131">
        <v>4</v>
      </c>
      <c r="N131" t="s">
        <v>60</v>
      </c>
      <c r="O131">
        <v>4</v>
      </c>
      <c r="P131" t="s">
        <v>61</v>
      </c>
      <c r="Q131" t="s">
        <v>62</v>
      </c>
      <c r="R131">
        <v>3</v>
      </c>
      <c r="S131" t="s">
        <v>63</v>
      </c>
      <c r="T131" t="s">
        <v>365</v>
      </c>
      <c r="U131" s="1">
        <v>-15744481</v>
      </c>
      <c r="V131" s="1">
        <v>-47914507</v>
      </c>
      <c r="W131" t="s">
        <v>173</v>
      </c>
      <c r="X131">
        <v>1</v>
      </c>
      <c r="Y131" t="s">
        <v>34</v>
      </c>
    </row>
    <row r="132" spans="1:25" x14ac:dyDescent="0.3">
      <c r="A132">
        <v>131</v>
      </c>
      <c r="B132">
        <v>131</v>
      </c>
      <c r="C132">
        <v>1276256006715</v>
      </c>
      <c r="D132">
        <v>15</v>
      </c>
      <c r="E132" t="s">
        <v>1586</v>
      </c>
      <c r="F132">
        <v>15</v>
      </c>
      <c r="G132" t="s">
        <v>1623</v>
      </c>
      <c r="H132" t="str">
        <f t="shared" si="2"/>
        <v>REDE 15 - BANDEIRA 15 - LOJA 131</v>
      </c>
      <c r="I132">
        <v>2</v>
      </c>
      <c r="J132" t="s">
        <v>1646</v>
      </c>
      <c r="K132">
        <v>3</v>
      </c>
      <c r="L132" t="s">
        <v>366</v>
      </c>
      <c r="M132">
        <v>4</v>
      </c>
      <c r="N132" t="s">
        <v>60</v>
      </c>
      <c r="O132">
        <v>4</v>
      </c>
      <c r="P132" t="s">
        <v>61</v>
      </c>
      <c r="Q132" t="s">
        <v>62</v>
      </c>
      <c r="R132">
        <v>3</v>
      </c>
      <c r="S132" t="s">
        <v>63</v>
      </c>
      <c r="T132" t="s">
        <v>126</v>
      </c>
      <c r="U132" s="1">
        <v>-158353898</v>
      </c>
      <c r="V132" s="1">
        <v>-48190674</v>
      </c>
      <c r="W132" t="s">
        <v>367</v>
      </c>
      <c r="X132">
        <v>1</v>
      </c>
      <c r="Y132" t="s">
        <v>34</v>
      </c>
    </row>
    <row r="133" spans="1:25" x14ac:dyDescent="0.3">
      <c r="A133">
        <v>132</v>
      </c>
      <c r="B133">
        <v>132</v>
      </c>
      <c r="C133">
        <v>0</v>
      </c>
      <c r="D133">
        <v>15</v>
      </c>
      <c r="E133" t="s">
        <v>1586</v>
      </c>
      <c r="F133">
        <v>15</v>
      </c>
      <c r="G133" t="s">
        <v>1623</v>
      </c>
      <c r="H133" t="str">
        <f t="shared" si="2"/>
        <v>REDE 15 - BANDEIRA 15 - LOJA 132</v>
      </c>
      <c r="I133">
        <v>2</v>
      </c>
      <c r="J133" t="s">
        <v>1646</v>
      </c>
      <c r="K133">
        <v>3</v>
      </c>
      <c r="L133" t="s">
        <v>368</v>
      </c>
      <c r="M133">
        <v>4</v>
      </c>
      <c r="N133" t="s">
        <v>60</v>
      </c>
      <c r="O133">
        <v>4</v>
      </c>
      <c r="P133" t="s">
        <v>61</v>
      </c>
      <c r="Q133" t="s">
        <v>62</v>
      </c>
      <c r="R133">
        <v>3</v>
      </c>
      <c r="S133" t="s">
        <v>63</v>
      </c>
      <c r="T133" t="s">
        <v>25</v>
      </c>
      <c r="U133" s="1">
        <v>-158395255</v>
      </c>
      <c r="V133" s="1">
        <v>-48195037</v>
      </c>
      <c r="W133" t="s">
        <v>25</v>
      </c>
      <c r="X133">
        <v>1</v>
      </c>
      <c r="Y133" t="s">
        <v>34</v>
      </c>
    </row>
    <row r="134" spans="1:25" x14ac:dyDescent="0.3">
      <c r="A134">
        <v>133</v>
      </c>
      <c r="B134">
        <v>133</v>
      </c>
      <c r="C134">
        <v>1276256000270</v>
      </c>
      <c r="D134">
        <v>15</v>
      </c>
      <c r="E134" t="s">
        <v>1586</v>
      </c>
      <c r="F134">
        <v>15</v>
      </c>
      <c r="G134" t="s">
        <v>1623</v>
      </c>
      <c r="H134" t="str">
        <f t="shared" si="2"/>
        <v>REDE 15 - BANDEIRA 15 - LOJA 133</v>
      </c>
      <c r="I134">
        <v>2</v>
      </c>
      <c r="J134" t="s">
        <v>1646</v>
      </c>
      <c r="K134">
        <v>3</v>
      </c>
      <c r="L134" t="s">
        <v>369</v>
      </c>
      <c r="M134">
        <v>4</v>
      </c>
      <c r="N134" t="s">
        <v>60</v>
      </c>
      <c r="O134">
        <v>4</v>
      </c>
      <c r="P134" t="s">
        <v>61</v>
      </c>
      <c r="Q134" t="s">
        <v>62</v>
      </c>
      <c r="R134">
        <v>3</v>
      </c>
      <c r="S134" t="s">
        <v>63</v>
      </c>
      <c r="T134" t="s">
        <v>170</v>
      </c>
      <c r="U134" s="1">
        <v>-157877941</v>
      </c>
      <c r="V134" s="1">
        <v>-478841863</v>
      </c>
      <c r="W134" t="s">
        <v>60</v>
      </c>
      <c r="X134">
        <v>1</v>
      </c>
      <c r="Y134" t="s">
        <v>34</v>
      </c>
    </row>
    <row r="135" spans="1:25" x14ac:dyDescent="0.3">
      <c r="A135">
        <v>134</v>
      </c>
      <c r="B135">
        <v>134</v>
      </c>
      <c r="C135">
        <v>61585865166807</v>
      </c>
      <c r="D135">
        <v>16</v>
      </c>
      <c r="E135" t="s">
        <v>1587</v>
      </c>
      <c r="F135">
        <v>16</v>
      </c>
      <c r="G135" t="s">
        <v>1624</v>
      </c>
      <c r="H135" t="str">
        <f t="shared" si="2"/>
        <v>REDE 16 - BANDEIRA 16 - LOJA 134</v>
      </c>
      <c r="I135">
        <v>2</v>
      </c>
      <c r="J135" t="s">
        <v>1646</v>
      </c>
      <c r="K135">
        <v>3</v>
      </c>
      <c r="L135" t="s">
        <v>370</v>
      </c>
      <c r="M135">
        <v>6</v>
      </c>
      <c r="N135" t="s">
        <v>236</v>
      </c>
      <c r="O135">
        <v>5</v>
      </c>
      <c r="P135" t="s">
        <v>237</v>
      </c>
      <c r="Q135" t="s">
        <v>238</v>
      </c>
      <c r="R135">
        <v>4</v>
      </c>
      <c r="S135" t="s">
        <v>239</v>
      </c>
      <c r="T135" t="s">
        <v>371</v>
      </c>
      <c r="U135" s="1">
        <v>-37314579</v>
      </c>
      <c r="V135" s="1">
        <v>-385124718</v>
      </c>
      <c r="W135" t="s">
        <v>302</v>
      </c>
      <c r="X135">
        <v>1</v>
      </c>
      <c r="Y135" t="s">
        <v>34</v>
      </c>
    </row>
    <row r="136" spans="1:25" x14ac:dyDescent="0.3">
      <c r="A136">
        <v>135</v>
      </c>
      <c r="B136">
        <v>135</v>
      </c>
      <c r="C136">
        <v>61585865169148</v>
      </c>
      <c r="D136">
        <v>16</v>
      </c>
      <c r="E136" t="s">
        <v>1587</v>
      </c>
      <c r="F136">
        <v>16</v>
      </c>
      <c r="G136" t="s">
        <v>1624</v>
      </c>
      <c r="H136" t="str">
        <f t="shared" si="2"/>
        <v>REDE 16 - BANDEIRA 16 - LOJA 135</v>
      </c>
      <c r="I136">
        <v>2</v>
      </c>
      <c r="J136" t="s">
        <v>1646</v>
      </c>
      <c r="K136">
        <v>3</v>
      </c>
      <c r="L136" t="s">
        <v>372</v>
      </c>
      <c r="M136">
        <v>6</v>
      </c>
      <c r="N136" t="s">
        <v>236</v>
      </c>
      <c r="O136">
        <v>5</v>
      </c>
      <c r="P136" t="s">
        <v>237</v>
      </c>
      <c r="Q136" t="s">
        <v>238</v>
      </c>
      <c r="R136">
        <v>4</v>
      </c>
      <c r="S136" t="s">
        <v>239</v>
      </c>
      <c r="T136" t="s">
        <v>373</v>
      </c>
      <c r="U136" s="1">
        <v>-373990009999999</v>
      </c>
      <c r="V136" s="1">
        <v>-384943323</v>
      </c>
      <c r="W136" t="s">
        <v>302</v>
      </c>
      <c r="X136">
        <v>1</v>
      </c>
      <c r="Y136" t="s">
        <v>34</v>
      </c>
    </row>
    <row r="137" spans="1:25" x14ac:dyDescent="0.3">
      <c r="A137">
        <v>136</v>
      </c>
      <c r="B137">
        <v>136</v>
      </c>
      <c r="C137">
        <v>61585865110763</v>
      </c>
      <c r="D137">
        <v>16</v>
      </c>
      <c r="E137" t="s">
        <v>1587</v>
      </c>
      <c r="F137">
        <v>16</v>
      </c>
      <c r="G137" t="s">
        <v>1624</v>
      </c>
      <c r="H137" t="str">
        <f t="shared" si="2"/>
        <v>REDE 16 - BANDEIRA 16 - LOJA 136</v>
      </c>
      <c r="I137">
        <v>2</v>
      </c>
      <c r="J137" t="s">
        <v>1646</v>
      </c>
      <c r="K137">
        <v>3</v>
      </c>
      <c r="L137" t="s">
        <v>374</v>
      </c>
      <c r="M137">
        <v>2</v>
      </c>
      <c r="N137" t="s">
        <v>36</v>
      </c>
      <c r="O137">
        <v>2</v>
      </c>
      <c r="P137" t="s">
        <v>37</v>
      </c>
      <c r="Q137" t="s">
        <v>38</v>
      </c>
      <c r="R137">
        <v>2</v>
      </c>
      <c r="S137" t="s">
        <v>39</v>
      </c>
      <c r="T137" t="s">
        <v>375</v>
      </c>
      <c r="U137" s="1">
        <v>-235531587</v>
      </c>
      <c r="V137" s="1">
        <v>-465664137</v>
      </c>
      <c r="W137" t="s">
        <v>376</v>
      </c>
      <c r="X137">
        <v>1</v>
      </c>
      <c r="Y137" t="s">
        <v>34</v>
      </c>
    </row>
    <row r="138" spans="1:25" x14ac:dyDescent="0.3">
      <c r="A138">
        <v>137</v>
      </c>
      <c r="B138">
        <v>137</v>
      </c>
      <c r="C138">
        <v>61585865013806</v>
      </c>
      <c r="D138">
        <v>16</v>
      </c>
      <c r="E138" t="s">
        <v>1587</v>
      </c>
      <c r="F138">
        <v>16</v>
      </c>
      <c r="G138" t="s">
        <v>1624</v>
      </c>
      <c r="H138" t="str">
        <f t="shared" si="2"/>
        <v>REDE 16 - BANDEIRA 16 - LOJA 137</v>
      </c>
      <c r="I138">
        <v>2</v>
      </c>
      <c r="J138" t="s">
        <v>1646</v>
      </c>
      <c r="K138">
        <v>3</v>
      </c>
      <c r="L138" t="s">
        <v>377</v>
      </c>
      <c r="M138">
        <v>2</v>
      </c>
      <c r="N138" t="s">
        <v>36</v>
      </c>
      <c r="O138">
        <v>2</v>
      </c>
      <c r="P138" t="s">
        <v>37</v>
      </c>
      <c r="Q138" t="s">
        <v>38</v>
      </c>
      <c r="R138">
        <v>2</v>
      </c>
      <c r="S138" t="s">
        <v>39</v>
      </c>
      <c r="T138" t="s">
        <v>378</v>
      </c>
      <c r="U138" s="1">
        <v>-235392225</v>
      </c>
      <c r="V138" s="1">
        <v>-466753975</v>
      </c>
      <c r="W138" t="s">
        <v>379</v>
      </c>
      <c r="X138">
        <v>1</v>
      </c>
      <c r="Y138" t="s">
        <v>34</v>
      </c>
    </row>
    <row r="139" spans="1:25" x14ac:dyDescent="0.3">
      <c r="A139">
        <v>138</v>
      </c>
      <c r="B139">
        <v>138</v>
      </c>
      <c r="C139">
        <v>61585865020691</v>
      </c>
      <c r="D139">
        <v>16</v>
      </c>
      <c r="E139" t="s">
        <v>1587</v>
      </c>
      <c r="F139">
        <v>16</v>
      </c>
      <c r="G139" t="s">
        <v>1624</v>
      </c>
      <c r="H139" t="str">
        <f t="shared" si="2"/>
        <v>REDE 16 - BANDEIRA 16 - LOJA 138</v>
      </c>
      <c r="I139">
        <v>2</v>
      </c>
      <c r="J139" t="s">
        <v>1646</v>
      </c>
      <c r="K139">
        <v>3</v>
      </c>
      <c r="L139" t="s">
        <v>381</v>
      </c>
      <c r="M139">
        <v>2</v>
      </c>
      <c r="N139" t="s">
        <v>36</v>
      </c>
      <c r="O139">
        <v>2</v>
      </c>
      <c r="P139" t="s">
        <v>37</v>
      </c>
      <c r="Q139" t="s">
        <v>38</v>
      </c>
      <c r="R139">
        <v>2</v>
      </c>
      <c r="S139" t="s">
        <v>39</v>
      </c>
      <c r="T139" t="s">
        <v>382</v>
      </c>
      <c r="U139" s="1">
        <v>-235827603</v>
      </c>
      <c r="V139" s="1">
        <v>-466863445</v>
      </c>
      <c r="W139" t="s">
        <v>383</v>
      </c>
      <c r="X139">
        <v>1</v>
      </c>
      <c r="Y139" t="s">
        <v>34</v>
      </c>
    </row>
    <row r="140" spans="1:25" x14ac:dyDescent="0.3">
      <c r="A140">
        <v>139</v>
      </c>
      <c r="B140">
        <v>139</v>
      </c>
      <c r="C140">
        <v>61585865170316</v>
      </c>
      <c r="D140">
        <v>16</v>
      </c>
      <c r="E140" t="s">
        <v>1587</v>
      </c>
      <c r="F140">
        <v>16</v>
      </c>
      <c r="G140" t="s">
        <v>1624</v>
      </c>
      <c r="H140" t="str">
        <f t="shared" si="2"/>
        <v>REDE 16 - BANDEIRA 16 - LOJA 139</v>
      </c>
      <c r="I140">
        <v>2</v>
      </c>
      <c r="J140" t="s">
        <v>1646</v>
      </c>
      <c r="K140">
        <v>3</v>
      </c>
      <c r="L140" t="s">
        <v>384</v>
      </c>
      <c r="M140">
        <v>6</v>
      </c>
      <c r="N140" t="s">
        <v>236</v>
      </c>
      <c r="O140">
        <v>5</v>
      </c>
      <c r="P140" t="s">
        <v>237</v>
      </c>
      <c r="Q140" t="s">
        <v>238</v>
      </c>
      <c r="R140">
        <v>4</v>
      </c>
      <c r="S140" t="s">
        <v>239</v>
      </c>
      <c r="T140" t="s">
        <v>385</v>
      </c>
      <c r="U140" s="1">
        <v>-37462815</v>
      </c>
      <c r="V140" s="1">
        <v>-38481603</v>
      </c>
      <c r="W140" t="s">
        <v>386</v>
      </c>
      <c r="X140">
        <v>1</v>
      </c>
      <c r="Y140" t="s">
        <v>34</v>
      </c>
    </row>
    <row r="141" spans="1:25" x14ac:dyDescent="0.3">
      <c r="A141">
        <v>140</v>
      </c>
      <c r="B141">
        <v>140</v>
      </c>
      <c r="C141">
        <v>61585865169903</v>
      </c>
      <c r="D141">
        <v>16</v>
      </c>
      <c r="E141" t="s">
        <v>1587</v>
      </c>
      <c r="F141">
        <v>16</v>
      </c>
      <c r="G141" t="s">
        <v>1624</v>
      </c>
      <c r="H141" t="str">
        <f t="shared" si="2"/>
        <v>REDE 16 - BANDEIRA 16 - LOJA 140</v>
      </c>
      <c r="I141">
        <v>2</v>
      </c>
      <c r="J141" t="s">
        <v>1646</v>
      </c>
      <c r="K141">
        <v>3</v>
      </c>
      <c r="L141" t="s">
        <v>387</v>
      </c>
      <c r="M141">
        <v>6</v>
      </c>
      <c r="N141" t="s">
        <v>236</v>
      </c>
      <c r="O141">
        <v>5</v>
      </c>
      <c r="P141" t="s">
        <v>237</v>
      </c>
      <c r="Q141" t="s">
        <v>238</v>
      </c>
      <c r="R141">
        <v>4</v>
      </c>
      <c r="S141" t="s">
        <v>239</v>
      </c>
      <c r="T141" t="s">
        <v>388</v>
      </c>
      <c r="U141" s="1">
        <v>-37429041</v>
      </c>
      <c r="V141" s="1">
        <v>-384794315</v>
      </c>
      <c r="W141" t="s">
        <v>386</v>
      </c>
      <c r="X141">
        <v>1</v>
      </c>
      <c r="Y141" t="s">
        <v>34</v>
      </c>
    </row>
    <row r="142" spans="1:25" x14ac:dyDescent="0.3">
      <c r="A142">
        <v>141</v>
      </c>
      <c r="B142">
        <v>141</v>
      </c>
      <c r="C142">
        <v>61585865177400</v>
      </c>
      <c r="D142">
        <v>16</v>
      </c>
      <c r="E142" t="s">
        <v>1587</v>
      </c>
      <c r="F142">
        <v>16</v>
      </c>
      <c r="G142" t="s">
        <v>1624</v>
      </c>
      <c r="H142" t="str">
        <f t="shared" si="2"/>
        <v>REDE 16 - BANDEIRA 16 - LOJA 141</v>
      </c>
      <c r="I142">
        <v>2</v>
      </c>
      <c r="J142" t="s">
        <v>1646</v>
      </c>
      <c r="K142">
        <v>3</v>
      </c>
      <c r="L142" t="s">
        <v>389</v>
      </c>
      <c r="M142">
        <v>4</v>
      </c>
      <c r="N142" t="s">
        <v>60</v>
      </c>
      <c r="O142">
        <v>4</v>
      </c>
      <c r="P142" t="s">
        <v>61</v>
      </c>
      <c r="Q142" t="s">
        <v>62</v>
      </c>
      <c r="R142">
        <v>3</v>
      </c>
      <c r="S142" t="s">
        <v>63</v>
      </c>
      <c r="T142" t="s">
        <v>390</v>
      </c>
      <c r="U142" s="1">
        <v>-157975154</v>
      </c>
      <c r="V142" s="1">
        <v>-478918873999999</v>
      </c>
      <c r="W142" t="s">
        <v>75</v>
      </c>
      <c r="X142">
        <v>1</v>
      </c>
      <c r="Y142" t="s">
        <v>34</v>
      </c>
    </row>
    <row r="143" spans="1:25" x14ac:dyDescent="0.3">
      <c r="A143">
        <v>142</v>
      </c>
      <c r="B143">
        <v>142</v>
      </c>
      <c r="C143">
        <v>61585865257519</v>
      </c>
      <c r="D143">
        <v>16</v>
      </c>
      <c r="E143" t="s">
        <v>1587</v>
      </c>
      <c r="F143">
        <v>16</v>
      </c>
      <c r="G143" t="s">
        <v>1624</v>
      </c>
      <c r="H143" t="str">
        <f t="shared" si="2"/>
        <v>REDE 16 - BANDEIRA 16 - LOJA 142</v>
      </c>
      <c r="I143">
        <v>2</v>
      </c>
      <c r="J143" t="s">
        <v>1646</v>
      </c>
      <c r="K143">
        <v>3</v>
      </c>
      <c r="L143" t="s">
        <v>391</v>
      </c>
      <c r="M143">
        <v>4</v>
      </c>
      <c r="N143" t="s">
        <v>60</v>
      </c>
      <c r="O143">
        <v>4</v>
      </c>
      <c r="P143" t="s">
        <v>61</v>
      </c>
      <c r="Q143" t="s">
        <v>62</v>
      </c>
      <c r="R143">
        <v>3</v>
      </c>
      <c r="S143" t="s">
        <v>63</v>
      </c>
      <c r="T143" t="s">
        <v>392</v>
      </c>
      <c r="U143" s="1">
        <v>-158133611</v>
      </c>
      <c r="V143" s="1">
        <v>-481111556</v>
      </c>
      <c r="W143" t="s">
        <v>149</v>
      </c>
      <c r="X143">
        <v>0</v>
      </c>
      <c r="Y143" t="s">
        <v>46</v>
      </c>
    </row>
    <row r="144" spans="1:25" x14ac:dyDescent="0.3">
      <c r="A144">
        <v>143</v>
      </c>
      <c r="B144">
        <v>143</v>
      </c>
      <c r="C144">
        <v>61585865109838</v>
      </c>
      <c r="D144">
        <v>16</v>
      </c>
      <c r="E144" t="s">
        <v>1587</v>
      </c>
      <c r="F144">
        <v>16</v>
      </c>
      <c r="G144" t="s">
        <v>1624</v>
      </c>
      <c r="H144" t="str">
        <f t="shared" si="2"/>
        <v>REDE 16 - BANDEIRA 16 - LOJA 143</v>
      </c>
      <c r="I144">
        <v>2</v>
      </c>
      <c r="J144" t="s">
        <v>1646</v>
      </c>
      <c r="K144">
        <v>3</v>
      </c>
      <c r="L144" t="s">
        <v>393</v>
      </c>
      <c r="M144">
        <v>2</v>
      </c>
      <c r="N144" t="s">
        <v>36</v>
      </c>
      <c r="O144">
        <v>2</v>
      </c>
      <c r="P144" t="s">
        <v>37</v>
      </c>
      <c r="Q144" t="s">
        <v>38</v>
      </c>
      <c r="R144">
        <v>2</v>
      </c>
      <c r="S144" t="s">
        <v>39</v>
      </c>
      <c r="T144" t="s">
        <v>394</v>
      </c>
      <c r="U144" s="1">
        <v>-235815426</v>
      </c>
      <c r="V144" s="1">
        <v>-46712309</v>
      </c>
      <c r="W144" t="s">
        <v>395</v>
      </c>
      <c r="X144">
        <v>1</v>
      </c>
      <c r="Y144" t="s">
        <v>34</v>
      </c>
    </row>
    <row r="145" spans="1:25" x14ac:dyDescent="0.3">
      <c r="A145">
        <v>144</v>
      </c>
      <c r="B145">
        <v>144</v>
      </c>
      <c r="C145">
        <v>61585865155945</v>
      </c>
      <c r="D145">
        <v>16</v>
      </c>
      <c r="E145" t="s">
        <v>1587</v>
      </c>
      <c r="F145">
        <v>16</v>
      </c>
      <c r="G145" t="s">
        <v>1624</v>
      </c>
      <c r="H145" t="str">
        <f t="shared" si="2"/>
        <v>REDE 16 - BANDEIRA 16 - LOJA 144</v>
      </c>
      <c r="I145">
        <v>2</v>
      </c>
      <c r="J145" t="s">
        <v>1646</v>
      </c>
      <c r="K145">
        <v>3</v>
      </c>
      <c r="L145" t="s">
        <v>396</v>
      </c>
      <c r="M145">
        <v>6</v>
      </c>
      <c r="N145" t="s">
        <v>236</v>
      </c>
      <c r="O145">
        <v>5</v>
      </c>
      <c r="P145" t="s">
        <v>237</v>
      </c>
      <c r="Q145" t="s">
        <v>238</v>
      </c>
      <c r="R145">
        <v>4</v>
      </c>
      <c r="S145" t="s">
        <v>239</v>
      </c>
      <c r="T145" t="s">
        <v>371</v>
      </c>
      <c r="U145" s="1">
        <v>-373485009999999</v>
      </c>
      <c r="V145" s="1">
        <v>-385036102</v>
      </c>
      <c r="W145" t="s">
        <v>302</v>
      </c>
      <c r="X145">
        <v>1</v>
      </c>
      <c r="Y145" t="s">
        <v>34</v>
      </c>
    </row>
    <row r="146" spans="1:25" x14ac:dyDescent="0.3">
      <c r="A146">
        <v>145</v>
      </c>
      <c r="B146">
        <v>145</v>
      </c>
      <c r="C146">
        <v>61585865195904</v>
      </c>
      <c r="D146">
        <v>16</v>
      </c>
      <c r="E146" t="s">
        <v>1587</v>
      </c>
      <c r="F146">
        <v>16</v>
      </c>
      <c r="G146" t="s">
        <v>1624</v>
      </c>
      <c r="H146" t="str">
        <f t="shared" si="2"/>
        <v>REDE 16 - BANDEIRA 16 - LOJA 145</v>
      </c>
      <c r="I146">
        <v>2</v>
      </c>
      <c r="J146" t="s">
        <v>1646</v>
      </c>
      <c r="K146">
        <v>3</v>
      </c>
      <c r="L146" t="s">
        <v>397</v>
      </c>
      <c r="M146">
        <v>6</v>
      </c>
      <c r="N146" t="s">
        <v>236</v>
      </c>
      <c r="O146">
        <v>5</v>
      </c>
      <c r="P146" t="s">
        <v>237</v>
      </c>
      <c r="Q146" t="s">
        <v>238</v>
      </c>
      <c r="R146">
        <v>4</v>
      </c>
      <c r="S146" t="s">
        <v>239</v>
      </c>
      <c r="T146" t="s">
        <v>398</v>
      </c>
      <c r="U146" s="1">
        <v>-373759609999999</v>
      </c>
      <c r="V146" s="1">
        <v>-385067537</v>
      </c>
      <c r="W146" t="s">
        <v>302</v>
      </c>
      <c r="X146">
        <v>1</v>
      </c>
      <c r="Y146" t="s">
        <v>34</v>
      </c>
    </row>
    <row r="147" spans="1:25" x14ac:dyDescent="0.3">
      <c r="A147">
        <v>146</v>
      </c>
      <c r="B147">
        <v>146</v>
      </c>
      <c r="C147">
        <v>61585865312803</v>
      </c>
      <c r="D147">
        <v>16</v>
      </c>
      <c r="E147" t="s">
        <v>1587</v>
      </c>
      <c r="F147">
        <v>16</v>
      </c>
      <c r="G147" t="s">
        <v>1624</v>
      </c>
      <c r="H147" t="str">
        <f t="shared" si="2"/>
        <v>REDE 16 - BANDEIRA 16 - LOJA 146</v>
      </c>
      <c r="I147">
        <v>2</v>
      </c>
      <c r="J147" t="s">
        <v>1646</v>
      </c>
      <c r="K147">
        <v>3</v>
      </c>
      <c r="L147" t="s">
        <v>399</v>
      </c>
      <c r="M147">
        <v>6</v>
      </c>
      <c r="N147" t="s">
        <v>236</v>
      </c>
      <c r="O147">
        <v>5</v>
      </c>
      <c r="P147" t="s">
        <v>237</v>
      </c>
      <c r="Q147" t="s">
        <v>238</v>
      </c>
      <c r="R147">
        <v>4</v>
      </c>
      <c r="S147" t="s">
        <v>239</v>
      </c>
      <c r="T147" t="s">
        <v>400</v>
      </c>
      <c r="U147" s="1">
        <v>-37413834</v>
      </c>
      <c r="V147" s="1">
        <v>-385090115</v>
      </c>
      <c r="W147" t="s">
        <v>302</v>
      </c>
      <c r="X147">
        <v>1</v>
      </c>
      <c r="Y147" t="s">
        <v>34</v>
      </c>
    </row>
    <row r="148" spans="1:25" x14ac:dyDescent="0.3">
      <c r="A148">
        <v>147</v>
      </c>
      <c r="B148">
        <v>147</v>
      </c>
      <c r="C148">
        <v>61585865315810</v>
      </c>
      <c r="D148">
        <v>16</v>
      </c>
      <c r="E148" t="s">
        <v>1587</v>
      </c>
      <c r="F148">
        <v>16</v>
      </c>
      <c r="G148" t="s">
        <v>1624</v>
      </c>
      <c r="H148" t="str">
        <f t="shared" si="2"/>
        <v>REDE 16 - BANDEIRA 16 - LOJA 147</v>
      </c>
      <c r="I148">
        <v>2</v>
      </c>
      <c r="J148" t="s">
        <v>1646</v>
      </c>
      <c r="K148">
        <v>3</v>
      </c>
      <c r="L148" t="s">
        <v>401</v>
      </c>
      <c r="M148">
        <v>6</v>
      </c>
      <c r="N148" t="s">
        <v>236</v>
      </c>
      <c r="O148">
        <v>5</v>
      </c>
      <c r="P148" t="s">
        <v>237</v>
      </c>
      <c r="Q148" t="s">
        <v>238</v>
      </c>
      <c r="R148">
        <v>4</v>
      </c>
      <c r="S148" t="s">
        <v>239</v>
      </c>
      <c r="T148" t="s">
        <v>402</v>
      </c>
      <c r="U148" s="1">
        <v>-37454489</v>
      </c>
      <c r="V148" s="1">
        <v>-385016219</v>
      </c>
      <c r="W148" t="s">
        <v>241</v>
      </c>
      <c r="X148">
        <v>1</v>
      </c>
      <c r="Y148" t="s">
        <v>34</v>
      </c>
    </row>
    <row r="149" spans="1:25" x14ac:dyDescent="0.3">
      <c r="A149">
        <v>148</v>
      </c>
      <c r="B149">
        <v>148</v>
      </c>
      <c r="C149">
        <v>61585865285130</v>
      </c>
      <c r="D149">
        <v>16</v>
      </c>
      <c r="E149" t="s">
        <v>1587</v>
      </c>
      <c r="F149">
        <v>16</v>
      </c>
      <c r="G149" t="s">
        <v>1624</v>
      </c>
      <c r="H149" t="str">
        <f t="shared" si="2"/>
        <v>REDE 16 - BANDEIRA 16 - LOJA 148</v>
      </c>
      <c r="I149">
        <v>2</v>
      </c>
      <c r="J149" t="s">
        <v>1646</v>
      </c>
      <c r="K149">
        <v>3</v>
      </c>
      <c r="L149" t="s">
        <v>312</v>
      </c>
      <c r="M149">
        <v>6</v>
      </c>
      <c r="N149" t="s">
        <v>236</v>
      </c>
      <c r="O149">
        <v>5</v>
      </c>
      <c r="P149" t="s">
        <v>237</v>
      </c>
      <c r="Q149" t="s">
        <v>238</v>
      </c>
      <c r="R149">
        <v>4</v>
      </c>
      <c r="S149" t="s">
        <v>239</v>
      </c>
      <c r="T149" t="s">
        <v>313</v>
      </c>
      <c r="U149" s="1">
        <v>-375796</v>
      </c>
      <c r="V149" s="1">
        <v>-3848817</v>
      </c>
      <c r="W149" t="s">
        <v>314</v>
      </c>
      <c r="X149">
        <v>1</v>
      </c>
      <c r="Y149" t="s">
        <v>34</v>
      </c>
    </row>
    <row r="150" spans="1:25" x14ac:dyDescent="0.3">
      <c r="A150">
        <v>149</v>
      </c>
      <c r="B150">
        <v>149</v>
      </c>
      <c r="C150">
        <v>61585865210989</v>
      </c>
      <c r="D150">
        <v>16</v>
      </c>
      <c r="E150" t="s">
        <v>1587</v>
      </c>
      <c r="F150">
        <v>16</v>
      </c>
      <c r="G150" t="s">
        <v>1624</v>
      </c>
      <c r="H150" t="str">
        <f t="shared" si="2"/>
        <v>REDE 16 - BANDEIRA 16 - LOJA 149</v>
      </c>
      <c r="I150">
        <v>2</v>
      </c>
      <c r="J150" t="s">
        <v>1646</v>
      </c>
      <c r="K150">
        <v>3</v>
      </c>
      <c r="L150" t="s">
        <v>403</v>
      </c>
      <c r="M150">
        <v>6</v>
      </c>
      <c r="N150" t="s">
        <v>236</v>
      </c>
      <c r="O150">
        <v>5</v>
      </c>
      <c r="P150" t="s">
        <v>237</v>
      </c>
      <c r="Q150" t="s">
        <v>238</v>
      </c>
      <c r="R150">
        <v>4</v>
      </c>
      <c r="S150" t="s">
        <v>239</v>
      </c>
      <c r="T150" t="s">
        <v>404</v>
      </c>
      <c r="U150" s="1">
        <v>-37443388</v>
      </c>
      <c r="V150" s="1">
        <v>-385348063</v>
      </c>
      <c r="W150" t="s">
        <v>405</v>
      </c>
      <c r="X150">
        <v>1</v>
      </c>
      <c r="Y150" t="s">
        <v>34</v>
      </c>
    </row>
    <row r="151" spans="1:25" x14ac:dyDescent="0.3">
      <c r="A151">
        <v>150</v>
      </c>
      <c r="B151">
        <v>150</v>
      </c>
      <c r="C151">
        <v>61585865206795</v>
      </c>
      <c r="D151">
        <v>16</v>
      </c>
      <c r="E151" t="s">
        <v>1587</v>
      </c>
      <c r="F151">
        <v>16</v>
      </c>
      <c r="G151" t="s">
        <v>1624</v>
      </c>
      <c r="H151" t="str">
        <f t="shared" si="2"/>
        <v>REDE 16 - BANDEIRA 16 - LOJA 150</v>
      </c>
      <c r="I151">
        <v>2</v>
      </c>
      <c r="J151" t="s">
        <v>1646</v>
      </c>
      <c r="K151">
        <v>3</v>
      </c>
      <c r="L151" t="s">
        <v>406</v>
      </c>
      <c r="M151">
        <v>6</v>
      </c>
      <c r="N151" t="s">
        <v>236</v>
      </c>
      <c r="O151">
        <v>5</v>
      </c>
      <c r="P151" t="s">
        <v>237</v>
      </c>
      <c r="Q151" t="s">
        <v>238</v>
      </c>
      <c r="R151">
        <v>4</v>
      </c>
      <c r="S151" t="s">
        <v>239</v>
      </c>
      <c r="T151" t="s">
        <v>407</v>
      </c>
      <c r="U151" s="1">
        <v>-37642685</v>
      </c>
      <c r="V151" s="1">
        <v>-384878258</v>
      </c>
      <c r="W151" t="s">
        <v>408</v>
      </c>
      <c r="X151">
        <v>1</v>
      </c>
      <c r="Y151" t="s">
        <v>34</v>
      </c>
    </row>
    <row r="152" spans="1:25" x14ac:dyDescent="0.3">
      <c r="A152">
        <v>151</v>
      </c>
      <c r="B152">
        <v>151</v>
      </c>
      <c r="C152">
        <v>61585865252550</v>
      </c>
      <c r="D152">
        <v>16</v>
      </c>
      <c r="E152" t="s">
        <v>1587</v>
      </c>
      <c r="F152">
        <v>16</v>
      </c>
      <c r="G152" t="s">
        <v>1624</v>
      </c>
      <c r="H152" t="str">
        <f t="shared" si="2"/>
        <v>REDE 16 - BANDEIRA 16 - LOJA 151</v>
      </c>
      <c r="I152">
        <v>2</v>
      </c>
      <c r="J152" t="s">
        <v>1646</v>
      </c>
      <c r="K152">
        <v>3</v>
      </c>
      <c r="L152" t="s">
        <v>409</v>
      </c>
      <c r="M152">
        <v>6</v>
      </c>
      <c r="N152" t="s">
        <v>236</v>
      </c>
      <c r="O152">
        <v>5</v>
      </c>
      <c r="P152" t="s">
        <v>237</v>
      </c>
      <c r="Q152" t="s">
        <v>238</v>
      </c>
      <c r="R152">
        <v>4</v>
      </c>
      <c r="S152" t="s">
        <v>239</v>
      </c>
      <c r="T152" t="s">
        <v>410</v>
      </c>
      <c r="U152" s="1">
        <v>-3780269</v>
      </c>
      <c r="V152" s="1">
        <v>-384881487</v>
      </c>
      <c r="W152" t="s">
        <v>308</v>
      </c>
      <c r="X152">
        <v>1</v>
      </c>
      <c r="Y152" t="s">
        <v>34</v>
      </c>
    </row>
    <row r="153" spans="1:25" x14ac:dyDescent="0.3">
      <c r="A153">
        <v>152</v>
      </c>
      <c r="B153">
        <v>152</v>
      </c>
      <c r="C153">
        <v>61585865167609</v>
      </c>
      <c r="D153">
        <v>16</v>
      </c>
      <c r="E153" t="s">
        <v>1587</v>
      </c>
      <c r="F153">
        <v>16</v>
      </c>
      <c r="G153" t="s">
        <v>1624</v>
      </c>
      <c r="H153" t="str">
        <f t="shared" si="2"/>
        <v>REDE 16 - BANDEIRA 16 - LOJA 152</v>
      </c>
      <c r="I153">
        <v>2</v>
      </c>
      <c r="J153" t="s">
        <v>1646</v>
      </c>
      <c r="K153">
        <v>3</v>
      </c>
      <c r="L153" t="s">
        <v>411</v>
      </c>
      <c r="M153">
        <v>6</v>
      </c>
      <c r="N153" t="s">
        <v>236</v>
      </c>
      <c r="O153">
        <v>5</v>
      </c>
      <c r="P153" t="s">
        <v>237</v>
      </c>
      <c r="Q153" t="s">
        <v>238</v>
      </c>
      <c r="R153">
        <v>4</v>
      </c>
      <c r="S153" t="s">
        <v>239</v>
      </c>
      <c r="T153" t="s">
        <v>412</v>
      </c>
      <c r="U153" s="1">
        <v>-37351527</v>
      </c>
      <c r="V153" s="1">
        <v>-384901664</v>
      </c>
      <c r="W153" t="s">
        <v>305</v>
      </c>
      <c r="X153">
        <v>1</v>
      </c>
      <c r="Y153" t="s">
        <v>34</v>
      </c>
    </row>
    <row r="154" spans="1:25" x14ac:dyDescent="0.3">
      <c r="A154">
        <v>153</v>
      </c>
      <c r="B154">
        <v>153</v>
      </c>
      <c r="C154">
        <v>61585865296255</v>
      </c>
      <c r="D154">
        <v>16</v>
      </c>
      <c r="E154" t="s">
        <v>1587</v>
      </c>
      <c r="F154">
        <v>16</v>
      </c>
      <c r="G154" t="s">
        <v>1624</v>
      </c>
      <c r="H154" t="str">
        <f t="shared" si="2"/>
        <v>REDE 16 - BANDEIRA 16 - LOJA 153</v>
      </c>
      <c r="I154">
        <v>2</v>
      </c>
      <c r="J154" t="s">
        <v>1646</v>
      </c>
      <c r="K154">
        <v>3</v>
      </c>
      <c r="L154" t="s">
        <v>413</v>
      </c>
      <c r="M154">
        <v>6</v>
      </c>
      <c r="N154" t="s">
        <v>236</v>
      </c>
      <c r="O154">
        <v>5</v>
      </c>
      <c r="P154" t="s">
        <v>237</v>
      </c>
      <c r="Q154" t="s">
        <v>238</v>
      </c>
      <c r="R154">
        <v>4</v>
      </c>
      <c r="S154" t="s">
        <v>239</v>
      </c>
      <c r="T154" t="s">
        <v>414</v>
      </c>
      <c r="U154" s="1">
        <v>-37257815</v>
      </c>
      <c r="V154" s="1">
        <v>-38501313</v>
      </c>
      <c r="W154" t="s">
        <v>305</v>
      </c>
      <c r="X154">
        <v>1</v>
      </c>
      <c r="Y154" t="s">
        <v>34</v>
      </c>
    </row>
    <row r="155" spans="1:25" x14ac:dyDescent="0.3">
      <c r="A155">
        <v>154</v>
      </c>
      <c r="B155">
        <v>154</v>
      </c>
      <c r="C155">
        <v>61585865052461</v>
      </c>
      <c r="D155">
        <v>16</v>
      </c>
      <c r="E155" t="s">
        <v>1587</v>
      </c>
      <c r="F155">
        <v>16</v>
      </c>
      <c r="G155" t="s">
        <v>1624</v>
      </c>
      <c r="H155" t="str">
        <f t="shared" si="2"/>
        <v>REDE 16 - BANDEIRA 16 - LOJA 154</v>
      </c>
      <c r="I155">
        <v>2</v>
      </c>
      <c r="J155" t="s">
        <v>1646</v>
      </c>
      <c r="K155">
        <v>3</v>
      </c>
      <c r="L155" t="s">
        <v>415</v>
      </c>
      <c r="M155">
        <v>2</v>
      </c>
      <c r="N155" t="s">
        <v>36</v>
      </c>
      <c r="O155">
        <v>2</v>
      </c>
      <c r="P155" t="s">
        <v>37</v>
      </c>
      <c r="Q155" t="s">
        <v>38</v>
      </c>
      <c r="R155">
        <v>2</v>
      </c>
      <c r="S155" t="s">
        <v>39</v>
      </c>
      <c r="T155" t="s">
        <v>416</v>
      </c>
      <c r="U155" s="1">
        <v>-235214347</v>
      </c>
      <c r="V155" s="1">
        <v>-467225803</v>
      </c>
      <c r="W155" t="s">
        <v>417</v>
      </c>
      <c r="X155">
        <v>1</v>
      </c>
      <c r="Y155" t="s">
        <v>34</v>
      </c>
    </row>
    <row r="156" spans="1:25" x14ac:dyDescent="0.3">
      <c r="A156">
        <v>155</v>
      </c>
      <c r="B156">
        <v>155</v>
      </c>
      <c r="C156">
        <v>61585865014705</v>
      </c>
      <c r="D156">
        <v>16</v>
      </c>
      <c r="E156" t="s">
        <v>1587</v>
      </c>
      <c r="F156">
        <v>16</v>
      </c>
      <c r="G156" t="s">
        <v>1624</v>
      </c>
      <c r="H156" t="str">
        <f t="shared" si="2"/>
        <v>REDE 16 - BANDEIRA 16 - LOJA 155</v>
      </c>
      <c r="I156">
        <v>2</v>
      </c>
      <c r="J156" t="s">
        <v>1646</v>
      </c>
      <c r="K156">
        <v>3</v>
      </c>
      <c r="L156" t="s">
        <v>418</v>
      </c>
      <c r="M156">
        <v>2</v>
      </c>
      <c r="N156" t="s">
        <v>36</v>
      </c>
      <c r="O156">
        <v>2</v>
      </c>
      <c r="P156" t="s">
        <v>37</v>
      </c>
      <c r="Q156" t="s">
        <v>38</v>
      </c>
      <c r="R156">
        <v>2</v>
      </c>
      <c r="S156" t="s">
        <v>39</v>
      </c>
      <c r="T156" t="s">
        <v>419</v>
      </c>
      <c r="U156" s="1">
        <v>-235594058</v>
      </c>
      <c r="V156" s="1">
        <v>-466809788</v>
      </c>
      <c r="W156" t="s">
        <v>383</v>
      </c>
      <c r="X156">
        <v>1</v>
      </c>
      <c r="Y156" t="s">
        <v>34</v>
      </c>
    </row>
    <row r="157" spans="1:25" x14ac:dyDescent="0.3">
      <c r="A157">
        <v>156</v>
      </c>
      <c r="B157">
        <v>156</v>
      </c>
      <c r="C157">
        <v>61585865105174</v>
      </c>
      <c r="D157">
        <v>16</v>
      </c>
      <c r="E157" t="s">
        <v>1587</v>
      </c>
      <c r="F157">
        <v>16</v>
      </c>
      <c r="G157" t="s">
        <v>1624</v>
      </c>
      <c r="H157" t="str">
        <f t="shared" si="2"/>
        <v>REDE 16 - BANDEIRA 16 - LOJA 156</v>
      </c>
      <c r="I157">
        <v>2</v>
      </c>
      <c r="J157" t="s">
        <v>1646</v>
      </c>
      <c r="K157">
        <v>3</v>
      </c>
      <c r="L157" t="s">
        <v>420</v>
      </c>
      <c r="M157">
        <v>2</v>
      </c>
      <c r="N157" t="s">
        <v>36</v>
      </c>
      <c r="O157">
        <v>2</v>
      </c>
      <c r="P157" t="s">
        <v>37</v>
      </c>
      <c r="Q157" t="s">
        <v>38</v>
      </c>
      <c r="R157">
        <v>2</v>
      </c>
      <c r="S157" t="s">
        <v>39</v>
      </c>
      <c r="T157" t="s">
        <v>162</v>
      </c>
      <c r="U157" s="1">
        <v>-235639583</v>
      </c>
      <c r="V157" s="1">
        <v>-466655048</v>
      </c>
      <c r="W157" t="s">
        <v>163</v>
      </c>
      <c r="X157">
        <v>1</v>
      </c>
      <c r="Y157" t="s">
        <v>34</v>
      </c>
    </row>
    <row r="158" spans="1:25" x14ac:dyDescent="0.3">
      <c r="A158">
        <v>157</v>
      </c>
      <c r="B158">
        <v>157</v>
      </c>
      <c r="C158">
        <v>61585865018360</v>
      </c>
      <c r="D158">
        <v>16</v>
      </c>
      <c r="E158" t="s">
        <v>1587</v>
      </c>
      <c r="F158">
        <v>16</v>
      </c>
      <c r="G158" t="s">
        <v>1624</v>
      </c>
      <c r="H158" t="str">
        <f t="shared" si="2"/>
        <v>REDE 16 - BANDEIRA 16 - LOJA 157</v>
      </c>
      <c r="I158">
        <v>2</v>
      </c>
      <c r="J158" t="s">
        <v>1646</v>
      </c>
      <c r="K158">
        <v>3</v>
      </c>
      <c r="L158" t="s">
        <v>421</v>
      </c>
      <c r="M158">
        <v>2</v>
      </c>
      <c r="N158" t="s">
        <v>36</v>
      </c>
      <c r="O158">
        <v>2</v>
      </c>
      <c r="P158" t="s">
        <v>37</v>
      </c>
      <c r="Q158" t="s">
        <v>38</v>
      </c>
      <c r="R158">
        <v>2</v>
      </c>
      <c r="S158" t="s">
        <v>39</v>
      </c>
      <c r="T158" t="s">
        <v>422</v>
      </c>
      <c r="U158" s="1">
        <v>-236085921</v>
      </c>
      <c r="V158" s="1">
        <v>-466625725</v>
      </c>
      <c r="W158" t="s">
        <v>423</v>
      </c>
      <c r="X158">
        <v>1</v>
      </c>
      <c r="Y158" t="s">
        <v>34</v>
      </c>
    </row>
    <row r="159" spans="1:25" x14ac:dyDescent="0.3">
      <c r="A159">
        <v>158</v>
      </c>
      <c r="B159">
        <v>158</v>
      </c>
      <c r="C159">
        <v>61585865048197</v>
      </c>
      <c r="D159">
        <v>16</v>
      </c>
      <c r="E159" t="s">
        <v>1587</v>
      </c>
      <c r="F159">
        <v>16</v>
      </c>
      <c r="G159" t="s">
        <v>1624</v>
      </c>
      <c r="H159" t="str">
        <f t="shared" si="2"/>
        <v>REDE 16 - BANDEIRA 16 - LOJA 158</v>
      </c>
      <c r="I159">
        <v>2</v>
      </c>
      <c r="J159" t="s">
        <v>1646</v>
      </c>
      <c r="K159">
        <v>3</v>
      </c>
      <c r="L159" t="s">
        <v>424</v>
      </c>
      <c r="M159">
        <v>2</v>
      </c>
      <c r="N159" t="s">
        <v>36</v>
      </c>
      <c r="O159">
        <v>2</v>
      </c>
      <c r="P159" t="s">
        <v>37</v>
      </c>
      <c r="Q159" t="s">
        <v>38</v>
      </c>
      <c r="R159">
        <v>2</v>
      </c>
      <c r="S159" t="s">
        <v>39</v>
      </c>
      <c r="T159" t="s">
        <v>425</v>
      </c>
      <c r="U159" s="1">
        <v>-23553818</v>
      </c>
      <c r="V159" s="1">
        <v>-466963947</v>
      </c>
      <c r="W159" t="s">
        <v>426</v>
      </c>
      <c r="X159">
        <v>1</v>
      </c>
      <c r="Y159" t="s">
        <v>34</v>
      </c>
    </row>
    <row r="160" spans="1:25" x14ac:dyDescent="0.3">
      <c r="A160">
        <v>159</v>
      </c>
      <c r="B160">
        <v>159</v>
      </c>
      <c r="C160">
        <v>61585865004734</v>
      </c>
      <c r="D160">
        <v>16</v>
      </c>
      <c r="E160" t="s">
        <v>1587</v>
      </c>
      <c r="F160">
        <v>16</v>
      </c>
      <c r="G160" t="s">
        <v>1624</v>
      </c>
      <c r="H160" t="str">
        <f t="shared" si="2"/>
        <v>REDE 16 - BANDEIRA 16 - LOJA 159</v>
      </c>
      <c r="I160">
        <v>2</v>
      </c>
      <c r="J160" t="s">
        <v>1646</v>
      </c>
      <c r="K160">
        <v>3</v>
      </c>
      <c r="L160" t="s">
        <v>427</v>
      </c>
      <c r="M160">
        <v>2</v>
      </c>
      <c r="N160" t="s">
        <v>36</v>
      </c>
      <c r="O160">
        <v>2</v>
      </c>
      <c r="P160" t="s">
        <v>37</v>
      </c>
      <c r="Q160" t="s">
        <v>38</v>
      </c>
      <c r="R160">
        <v>2</v>
      </c>
      <c r="S160" t="s">
        <v>39</v>
      </c>
      <c r="T160" t="s">
        <v>428</v>
      </c>
      <c r="U160" s="1">
        <v>-235714241</v>
      </c>
      <c r="V160" s="1">
        <v>-46661538</v>
      </c>
      <c r="W160" t="s">
        <v>429</v>
      </c>
      <c r="X160">
        <v>1</v>
      </c>
      <c r="Y160" t="s">
        <v>34</v>
      </c>
    </row>
    <row r="161" spans="1:25" x14ac:dyDescent="0.3">
      <c r="A161">
        <v>160</v>
      </c>
      <c r="B161">
        <v>160</v>
      </c>
      <c r="C161">
        <v>61585865022120</v>
      </c>
      <c r="D161">
        <v>16</v>
      </c>
      <c r="E161" t="s">
        <v>1587</v>
      </c>
      <c r="F161">
        <v>16</v>
      </c>
      <c r="G161" t="s">
        <v>1624</v>
      </c>
      <c r="H161" t="str">
        <f t="shared" si="2"/>
        <v>REDE 16 - BANDEIRA 16 - LOJA 160</v>
      </c>
      <c r="I161">
        <v>2</v>
      </c>
      <c r="J161" t="s">
        <v>1646</v>
      </c>
      <c r="K161">
        <v>3</v>
      </c>
      <c r="L161" t="s">
        <v>431</v>
      </c>
      <c r="M161">
        <v>2</v>
      </c>
      <c r="N161" t="s">
        <v>36</v>
      </c>
      <c r="O161">
        <v>2</v>
      </c>
      <c r="P161" t="s">
        <v>37</v>
      </c>
      <c r="Q161" t="s">
        <v>38</v>
      </c>
      <c r="R161">
        <v>2</v>
      </c>
      <c r="S161" t="s">
        <v>39</v>
      </c>
      <c r="T161" t="s">
        <v>432</v>
      </c>
      <c r="U161" s="1">
        <v>-235654791</v>
      </c>
      <c r="V161" s="1">
        <v>-466521936</v>
      </c>
      <c r="W161" t="s">
        <v>433</v>
      </c>
      <c r="X161">
        <v>1</v>
      </c>
      <c r="Y161" t="s">
        <v>34</v>
      </c>
    </row>
    <row r="162" spans="1:25" x14ac:dyDescent="0.3">
      <c r="A162">
        <v>161</v>
      </c>
      <c r="B162">
        <v>161</v>
      </c>
      <c r="C162">
        <v>61585865158880</v>
      </c>
      <c r="D162">
        <v>16</v>
      </c>
      <c r="E162" t="s">
        <v>1587</v>
      </c>
      <c r="F162">
        <v>16</v>
      </c>
      <c r="G162" t="s">
        <v>1624</v>
      </c>
      <c r="H162" t="str">
        <f t="shared" si="2"/>
        <v>REDE 16 - BANDEIRA 16 - LOJA 161</v>
      </c>
      <c r="I162">
        <v>2</v>
      </c>
      <c r="J162" t="s">
        <v>1646</v>
      </c>
      <c r="K162">
        <v>3</v>
      </c>
      <c r="L162" t="s">
        <v>434</v>
      </c>
      <c r="M162">
        <v>2</v>
      </c>
      <c r="N162" t="s">
        <v>36</v>
      </c>
      <c r="O162">
        <v>2</v>
      </c>
      <c r="P162" t="s">
        <v>37</v>
      </c>
      <c r="Q162" t="s">
        <v>38</v>
      </c>
      <c r="R162">
        <v>2</v>
      </c>
      <c r="S162" t="s">
        <v>39</v>
      </c>
      <c r="T162" t="s">
        <v>435</v>
      </c>
      <c r="U162" s="1">
        <v>-235334293</v>
      </c>
      <c r="V162" s="1">
        <v>-466797674</v>
      </c>
      <c r="W162" t="s">
        <v>379</v>
      </c>
      <c r="X162">
        <v>1</v>
      </c>
      <c r="Y162" t="s">
        <v>34</v>
      </c>
    </row>
    <row r="163" spans="1:25" x14ac:dyDescent="0.3">
      <c r="A163">
        <v>162</v>
      </c>
      <c r="B163">
        <v>162</v>
      </c>
      <c r="C163">
        <v>61585865019170</v>
      </c>
      <c r="D163">
        <v>16</v>
      </c>
      <c r="E163" t="s">
        <v>1587</v>
      </c>
      <c r="F163">
        <v>16</v>
      </c>
      <c r="G163" t="s">
        <v>1624</v>
      </c>
      <c r="H163" t="str">
        <f t="shared" si="2"/>
        <v>REDE 16 - BANDEIRA 16 - LOJA 162</v>
      </c>
      <c r="I163">
        <v>2</v>
      </c>
      <c r="J163" t="s">
        <v>1646</v>
      </c>
      <c r="K163">
        <v>3</v>
      </c>
      <c r="L163" t="s">
        <v>436</v>
      </c>
      <c r="M163">
        <v>2</v>
      </c>
      <c r="N163" t="s">
        <v>36</v>
      </c>
      <c r="O163">
        <v>2</v>
      </c>
      <c r="P163" t="s">
        <v>37</v>
      </c>
      <c r="Q163" t="s">
        <v>38</v>
      </c>
      <c r="R163">
        <v>2</v>
      </c>
      <c r="S163" t="s">
        <v>39</v>
      </c>
      <c r="T163" t="s">
        <v>437</v>
      </c>
      <c r="U163" s="1">
        <v>-236135203</v>
      </c>
      <c r="V163" s="1">
        <v>-467412851</v>
      </c>
      <c r="W163" t="s">
        <v>438</v>
      </c>
      <c r="X163">
        <v>1</v>
      </c>
      <c r="Y163" t="s">
        <v>34</v>
      </c>
    </row>
    <row r="164" spans="1:25" x14ac:dyDescent="0.3">
      <c r="A164">
        <v>163</v>
      </c>
      <c r="B164">
        <v>163</v>
      </c>
      <c r="C164">
        <v>61585865051902</v>
      </c>
      <c r="D164">
        <v>16</v>
      </c>
      <c r="E164" t="s">
        <v>1587</v>
      </c>
      <c r="F164">
        <v>16</v>
      </c>
      <c r="G164" t="s">
        <v>1624</v>
      </c>
      <c r="H164" t="str">
        <f t="shared" si="2"/>
        <v>REDE 16 - BANDEIRA 16 - LOJA 163</v>
      </c>
      <c r="I164">
        <v>2</v>
      </c>
      <c r="J164" t="s">
        <v>1646</v>
      </c>
      <c r="K164">
        <v>3</v>
      </c>
      <c r="L164" t="s">
        <v>439</v>
      </c>
      <c r="M164">
        <v>2</v>
      </c>
      <c r="N164" t="s">
        <v>36</v>
      </c>
      <c r="O164">
        <v>2</v>
      </c>
      <c r="P164" t="s">
        <v>37</v>
      </c>
      <c r="Q164" t="s">
        <v>38</v>
      </c>
      <c r="R164">
        <v>2</v>
      </c>
      <c r="S164" t="s">
        <v>39</v>
      </c>
      <c r="T164" t="s">
        <v>440</v>
      </c>
      <c r="U164" s="1">
        <v>-234961651</v>
      </c>
      <c r="V164" s="1">
        <v>-466365507999999</v>
      </c>
      <c r="W164" t="s">
        <v>441</v>
      </c>
      <c r="X164">
        <v>1</v>
      </c>
      <c r="Y164" t="s">
        <v>34</v>
      </c>
    </row>
    <row r="165" spans="1:25" x14ac:dyDescent="0.3">
      <c r="A165">
        <v>164</v>
      </c>
      <c r="B165">
        <v>164</v>
      </c>
      <c r="C165">
        <v>61585865004149</v>
      </c>
      <c r="D165">
        <v>16</v>
      </c>
      <c r="E165" t="s">
        <v>1587</v>
      </c>
      <c r="F165">
        <v>16</v>
      </c>
      <c r="G165" t="s">
        <v>1624</v>
      </c>
      <c r="H165" t="str">
        <f t="shared" si="2"/>
        <v>REDE 16 - BANDEIRA 16 - LOJA 164</v>
      </c>
      <c r="I165">
        <v>2</v>
      </c>
      <c r="J165" t="s">
        <v>1646</v>
      </c>
      <c r="K165">
        <v>3</v>
      </c>
      <c r="L165" t="s">
        <v>442</v>
      </c>
      <c r="M165">
        <v>2</v>
      </c>
      <c r="N165" t="s">
        <v>36</v>
      </c>
      <c r="O165">
        <v>2</v>
      </c>
      <c r="P165" t="s">
        <v>37</v>
      </c>
      <c r="Q165" t="s">
        <v>38</v>
      </c>
      <c r="R165">
        <v>2</v>
      </c>
      <c r="S165" t="s">
        <v>39</v>
      </c>
      <c r="T165" t="s">
        <v>443</v>
      </c>
      <c r="U165" s="1">
        <v>-235474428</v>
      </c>
      <c r="V165" s="1">
        <v>-467570686</v>
      </c>
      <c r="W165" t="s">
        <v>444</v>
      </c>
      <c r="X165">
        <v>1</v>
      </c>
      <c r="Y165" t="s">
        <v>34</v>
      </c>
    </row>
    <row r="166" spans="1:25" x14ac:dyDescent="0.3">
      <c r="A166">
        <v>165</v>
      </c>
      <c r="B166">
        <v>165</v>
      </c>
      <c r="C166">
        <v>61585865004653</v>
      </c>
      <c r="D166">
        <v>16</v>
      </c>
      <c r="E166" t="s">
        <v>1587</v>
      </c>
      <c r="F166">
        <v>16</v>
      </c>
      <c r="G166" t="s">
        <v>1624</v>
      </c>
      <c r="H166" t="str">
        <f t="shared" si="2"/>
        <v>REDE 16 - BANDEIRA 16 - LOJA 165</v>
      </c>
      <c r="I166">
        <v>2</v>
      </c>
      <c r="J166" t="s">
        <v>1646</v>
      </c>
      <c r="K166">
        <v>3</v>
      </c>
      <c r="L166" t="s">
        <v>445</v>
      </c>
      <c r="M166">
        <v>2</v>
      </c>
      <c r="N166" t="s">
        <v>36</v>
      </c>
      <c r="O166">
        <v>2</v>
      </c>
      <c r="P166" t="s">
        <v>37</v>
      </c>
      <c r="Q166" t="s">
        <v>38</v>
      </c>
      <c r="R166">
        <v>2</v>
      </c>
      <c r="S166" t="s">
        <v>39</v>
      </c>
      <c r="T166" t="s">
        <v>446</v>
      </c>
      <c r="U166" s="1">
        <v>-235741028</v>
      </c>
      <c r="V166" s="1">
        <v>-466959681</v>
      </c>
      <c r="W166" t="s">
        <v>447</v>
      </c>
      <c r="X166">
        <v>1</v>
      </c>
      <c r="Y166" t="s">
        <v>34</v>
      </c>
    </row>
    <row r="167" spans="1:25" x14ac:dyDescent="0.3">
      <c r="A167">
        <v>166</v>
      </c>
      <c r="B167">
        <v>166</v>
      </c>
      <c r="C167">
        <v>61585865023607</v>
      </c>
      <c r="D167">
        <v>16</v>
      </c>
      <c r="E167" t="s">
        <v>1587</v>
      </c>
      <c r="F167">
        <v>16</v>
      </c>
      <c r="G167" t="s">
        <v>1624</v>
      </c>
      <c r="H167" t="str">
        <f t="shared" si="2"/>
        <v>REDE 16 - BANDEIRA 16 - LOJA 166</v>
      </c>
      <c r="I167">
        <v>2</v>
      </c>
      <c r="J167" t="s">
        <v>1646</v>
      </c>
      <c r="K167">
        <v>3</v>
      </c>
      <c r="L167" t="s">
        <v>445</v>
      </c>
      <c r="M167">
        <v>2</v>
      </c>
      <c r="N167" t="s">
        <v>36</v>
      </c>
      <c r="O167">
        <v>2</v>
      </c>
      <c r="P167" t="s">
        <v>37</v>
      </c>
      <c r="Q167" t="s">
        <v>38</v>
      </c>
      <c r="R167">
        <v>2</v>
      </c>
      <c r="S167" t="s">
        <v>39</v>
      </c>
      <c r="T167" t="s">
        <v>448</v>
      </c>
      <c r="U167" s="1">
        <v>-235741028</v>
      </c>
      <c r="V167" s="1">
        <v>-466959681</v>
      </c>
      <c r="W167" t="s">
        <v>334</v>
      </c>
      <c r="X167">
        <v>1</v>
      </c>
      <c r="Y167" t="s">
        <v>34</v>
      </c>
    </row>
    <row r="168" spans="1:25" x14ac:dyDescent="0.3">
      <c r="A168">
        <v>167</v>
      </c>
      <c r="B168">
        <v>167</v>
      </c>
      <c r="C168">
        <v>61585865252983</v>
      </c>
      <c r="D168">
        <v>16</v>
      </c>
      <c r="E168" t="s">
        <v>1587</v>
      </c>
      <c r="F168">
        <v>16</v>
      </c>
      <c r="G168" t="s">
        <v>1624</v>
      </c>
      <c r="H168" t="str">
        <f t="shared" si="2"/>
        <v>REDE 16 - BANDEIRA 16 - LOJA 167</v>
      </c>
      <c r="I168">
        <v>2</v>
      </c>
      <c r="J168" t="s">
        <v>1646</v>
      </c>
      <c r="K168">
        <v>3</v>
      </c>
      <c r="L168" t="s">
        <v>449</v>
      </c>
      <c r="M168">
        <v>2</v>
      </c>
      <c r="N168" t="s">
        <v>36</v>
      </c>
      <c r="O168">
        <v>2</v>
      </c>
      <c r="P168" t="s">
        <v>37</v>
      </c>
      <c r="Q168" t="s">
        <v>38</v>
      </c>
      <c r="R168">
        <v>2</v>
      </c>
      <c r="S168" t="s">
        <v>39</v>
      </c>
      <c r="T168" t="s">
        <v>450</v>
      </c>
      <c r="U168" s="1">
        <v>-235785424</v>
      </c>
      <c r="V168" s="1">
        <v>-466292544999999</v>
      </c>
      <c r="W168" t="s">
        <v>451</v>
      </c>
      <c r="X168">
        <v>1</v>
      </c>
      <c r="Y168" t="s">
        <v>34</v>
      </c>
    </row>
    <row r="169" spans="1:25" x14ac:dyDescent="0.3">
      <c r="A169">
        <v>168</v>
      </c>
      <c r="B169">
        <v>168</v>
      </c>
      <c r="C169">
        <v>61585865157484</v>
      </c>
      <c r="D169">
        <v>16</v>
      </c>
      <c r="E169" t="s">
        <v>1587</v>
      </c>
      <c r="F169">
        <v>16</v>
      </c>
      <c r="G169" t="s">
        <v>1624</v>
      </c>
      <c r="H169" t="str">
        <f t="shared" si="2"/>
        <v>REDE 16 - BANDEIRA 16 - LOJA 168</v>
      </c>
      <c r="I169">
        <v>2</v>
      </c>
      <c r="J169" t="s">
        <v>1646</v>
      </c>
      <c r="K169">
        <v>3</v>
      </c>
      <c r="L169" t="s">
        <v>452</v>
      </c>
      <c r="M169">
        <v>2</v>
      </c>
      <c r="N169" t="s">
        <v>36</v>
      </c>
      <c r="O169">
        <v>2</v>
      </c>
      <c r="P169" t="s">
        <v>37</v>
      </c>
      <c r="Q169" t="s">
        <v>38</v>
      </c>
      <c r="R169">
        <v>2</v>
      </c>
      <c r="S169" t="s">
        <v>39</v>
      </c>
      <c r="T169" t="s">
        <v>453</v>
      </c>
      <c r="U169" s="1">
        <v>-235270712</v>
      </c>
      <c r="V169" s="1">
        <v>-46709465</v>
      </c>
      <c r="W169" t="s">
        <v>454</v>
      </c>
      <c r="X169">
        <v>1</v>
      </c>
      <c r="Y169" t="s">
        <v>34</v>
      </c>
    </row>
    <row r="170" spans="1:25" x14ac:dyDescent="0.3">
      <c r="A170">
        <v>169</v>
      </c>
      <c r="B170">
        <v>169</v>
      </c>
      <c r="C170">
        <v>61585865180974</v>
      </c>
      <c r="D170">
        <v>16</v>
      </c>
      <c r="E170" t="s">
        <v>1587</v>
      </c>
      <c r="F170">
        <v>16</v>
      </c>
      <c r="G170" t="s">
        <v>1624</v>
      </c>
      <c r="H170" t="str">
        <f t="shared" si="2"/>
        <v>REDE 16 - BANDEIRA 16 - LOJA 169</v>
      </c>
      <c r="I170">
        <v>2</v>
      </c>
      <c r="J170" t="s">
        <v>1646</v>
      </c>
      <c r="K170">
        <v>3</v>
      </c>
      <c r="L170" t="s">
        <v>455</v>
      </c>
      <c r="M170">
        <v>2</v>
      </c>
      <c r="N170" t="s">
        <v>36</v>
      </c>
      <c r="O170">
        <v>2</v>
      </c>
      <c r="P170" t="s">
        <v>37</v>
      </c>
      <c r="Q170" t="s">
        <v>38</v>
      </c>
      <c r="R170">
        <v>2</v>
      </c>
      <c r="S170" t="s">
        <v>39</v>
      </c>
      <c r="T170" t="s">
        <v>456</v>
      </c>
      <c r="U170" s="1">
        <v>-235547383</v>
      </c>
      <c r="V170" s="1">
        <v>-467097713</v>
      </c>
      <c r="W170" t="s">
        <v>457</v>
      </c>
      <c r="X170">
        <v>1</v>
      </c>
      <c r="Y170" t="s">
        <v>34</v>
      </c>
    </row>
    <row r="171" spans="1:25" x14ac:dyDescent="0.3">
      <c r="A171">
        <v>170</v>
      </c>
      <c r="B171">
        <v>170</v>
      </c>
      <c r="C171">
        <v>61585865126171</v>
      </c>
      <c r="D171">
        <v>16</v>
      </c>
      <c r="E171" t="s">
        <v>1587</v>
      </c>
      <c r="F171">
        <v>16</v>
      </c>
      <c r="G171" t="s">
        <v>1624</v>
      </c>
      <c r="H171" t="str">
        <f t="shared" si="2"/>
        <v>REDE 16 - BANDEIRA 16 - LOJA 170</v>
      </c>
      <c r="I171">
        <v>2</v>
      </c>
      <c r="J171" t="s">
        <v>1646</v>
      </c>
      <c r="K171">
        <v>3</v>
      </c>
      <c r="L171" t="s">
        <v>458</v>
      </c>
      <c r="M171">
        <v>2</v>
      </c>
      <c r="N171" t="s">
        <v>36</v>
      </c>
      <c r="O171">
        <v>2</v>
      </c>
      <c r="P171" t="s">
        <v>37</v>
      </c>
      <c r="Q171" t="s">
        <v>38</v>
      </c>
      <c r="R171">
        <v>2</v>
      </c>
      <c r="S171" t="s">
        <v>39</v>
      </c>
      <c r="T171" t="s">
        <v>459</v>
      </c>
      <c r="U171" s="1">
        <v>-234917328</v>
      </c>
      <c r="V171" s="1">
        <v>-466276809</v>
      </c>
      <c r="W171" t="s">
        <v>460</v>
      </c>
      <c r="X171">
        <v>1</v>
      </c>
      <c r="Y171" t="s">
        <v>34</v>
      </c>
    </row>
    <row r="172" spans="1:25" x14ac:dyDescent="0.3">
      <c r="A172">
        <v>171</v>
      </c>
      <c r="B172">
        <v>171</v>
      </c>
      <c r="C172">
        <v>61585865117504</v>
      </c>
      <c r="D172">
        <v>16</v>
      </c>
      <c r="E172" t="s">
        <v>1587</v>
      </c>
      <c r="F172">
        <v>16</v>
      </c>
      <c r="G172" t="s">
        <v>1624</v>
      </c>
      <c r="H172" t="str">
        <f t="shared" si="2"/>
        <v>REDE 16 - BANDEIRA 16 - LOJA 171</v>
      </c>
      <c r="I172">
        <v>2</v>
      </c>
      <c r="J172" t="s">
        <v>1646</v>
      </c>
      <c r="K172">
        <v>3</v>
      </c>
      <c r="L172" t="s">
        <v>461</v>
      </c>
      <c r="M172">
        <v>2</v>
      </c>
      <c r="N172" t="s">
        <v>36</v>
      </c>
      <c r="O172">
        <v>2</v>
      </c>
      <c r="P172" t="s">
        <v>37</v>
      </c>
      <c r="Q172" t="s">
        <v>38</v>
      </c>
      <c r="R172">
        <v>2</v>
      </c>
      <c r="S172" t="s">
        <v>39</v>
      </c>
      <c r="T172" t="s">
        <v>462</v>
      </c>
      <c r="U172" s="1">
        <v>-235619761</v>
      </c>
      <c r="V172" s="1">
        <v>-466525247999999</v>
      </c>
      <c r="W172" t="s">
        <v>163</v>
      </c>
      <c r="X172">
        <v>1</v>
      </c>
      <c r="Y172" t="s">
        <v>34</v>
      </c>
    </row>
    <row r="173" spans="1:25" x14ac:dyDescent="0.3">
      <c r="A173">
        <v>172</v>
      </c>
      <c r="B173">
        <v>172</v>
      </c>
      <c r="C173">
        <v>61585865207333</v>
      </c>
      <c r="D173">
        <v>16</v>
      </c>
      <c r="E173" t="s">
        <v>1587</v>
      </c>
      <c r="F173">
        <v>16</v>
      </c>
      <c r="G173" t="s">
        <v>1624</v>
      </c>
      <c r="H173" t="str">
        <f t="shared" si="2"/>
        <v>REDE 16 - BANDEIRA 16 - LOJA 172</v>
      </c>
      <c r="I173">
        <v>2</v>
      </c>
      <c r="J173" t="s">
        <v>1646</v>
      </c>
      <c r="K173">
        <v>3</v>
      </c>
      <c r="L173" t="s">
        <v>463</v>
      </c>
      <c r="M173">
        <v>2</v>
      </c>
      <c r="N173" t="s">
        <v>36</v>
      </c>
      <c r="O173">
        <v>2</v>
      </c>
      <c r="P173" t="s">
        <v>37</v>
      </c>
      <c r="Q173" t="s">
        <v>38</v>
      </c>
      <c r="R173">
        <v>2</v>
      </c>
      <c r="S173" t="s">
        <v>39</v>
      </c>
      <c r="T173" t="s">
        <v>464</v>
      </c>
      <c r="U173" s="1">
        <v>-23613579</v>
      </c>
      <c r="V173" s="1">
        <v>-466830335</v>
      </c>
      <c r="W173" t="s">
        <v>465</v>
      </c>
      <c r="X173">
        <v>1</v>
      </c>
      <c r="Y173" t="s">
        <v>34</v>
      </c>
    </row>
    <row r="174" spans="1:25" x14ac:dyDescent="0.3">
      <c r="A174">
        <v>173</v>
      </c>
      <c r="B174">
        <v>173</v>
      </c>
      <c r="C174">
        <v>61585865124985</v>
      </c>
      <c r="D174">
        <v>16</v>
      </c>
      <c r="E174" t="s">
        <v>1587</v>
      </c>
      <c r="F174">
        <v>16</v>
      </c>
      <c r="G174" t="s">
        <v>1624</v>
      </c>
      <c r="H174" t="str">
        <f t="shared" si="2"/>
        <v>REDE 16 - BANDEIRA 16 - LOJA 173</v>
      </c>
      <c r="I174">
        <v>2</v>
      </c>
      <c r="J174" t="s">
        <v>1646</v>
      </c>
      <c r="K174">
        <v>3</v>
      </c>
      <c r="L174" t="s">
        <v>466</v>
      </c>
      <c r="M174">
        <v>2</v>
      </c>
      <c r="N174" t="s">
        <v>36</v>
      </c>
      <c r="O174">
        <v>2</v>
      </c>
      <c r="P174" t="s">
        <v>37</v>
      </c>
      <c r="Q174" t="s">
        <v>38</v>
      </c>
      <c r="R174">
        <v>2</v>
      </c>
      <c r="S174" t="s">
        <v>39</v>
      </c>
      <c r="T174" t="s">
        <v>467</v>
      </c>
      <c r="U174" s="1">
        <v>-236218837</v>
      </c>
      <c r="V174" s="1">
        <v>-466751352</v>
      </c>
      <c r="W174" t="s">
        <v>468</v>
      </c>
      <c r="X174">
        <v>1</v>
      </c>
      <c r="Y174" t="s">
        <v>34</v>
      </c>
    </row>
    <row r="175" spans="1:25" x14ac:dyDescent="0.3">
      <c r="A175">
        <v>174</v>
      </c>
      <c r="B175">
        <v>174</v>
      </c>
      <c r="C175">
        <v>61585865218882</v>
      </c>
      <c r="D175">
        <v>16</v>
      </c>
      <c r="E175" t="s">
        <v>1587</v>
      </c>
      <c r="F175">
        <v>16</v>
      </c>
      <c r="G175" t="s">
        <v>1624</v>
      </c>
      <c r="H175" t="str">
        <f t="shared" si="2"/>
        <v>REDE 16 - BANDEIRA 16 - LOJA 174</v>
      </c>
      <c r="I175">
        <v>2</v>
      </c>
      <c r="J175" t="s">
        <v>1646</v>
      </c>
      <c r="K175">
        <v>3</v>
      </c>
      <c r="L175" t="s">
        <v>469</v>
      </c>
      <c r="M175">
        <v>2</v>
      </c>
      <c r="N175" t="s">
        <v>36</v>
      </c>
      <c r="O175">
        <v>2</v>
      </c>
      <c r="P175" t="s">
        <v>37</v>
      </c>
      <c r="Q175" t="s">
        <v>38</v>
      </c>
      <c r="R175">
        <v>2</v>
      </c>
      <c r="S175" t="s">
        <v>39</v>
      </c>
      <c r="T175" t="s">
        <v>470</v>
      </c>
      <c r="U175" s="1">
        <v>-235667417</v>
      </c>
      <c r="V175" s="1">
        <v>-466646324</v>
      </c>
      <c r="W175" t="s">
        <v>447</v>
      </c>
      <c r="X175">
        <v>1</v>
      </c>
      <c r="Y175" t="s">
        <v>34</v>
      </c>
    </row>
    <row r="176" spans="1:25" x14ac:dyDescent="0.3">
      <c r="A176">
        <v>175</v>
      </c>
      <c r="B176">
        <v>175</v>
      </c>
      <c r="C176">
        <v>61585865137025</v>
      </c>
      <c r="D176">
        <v>16</v>
      </c>
      <c r="E176" t="s">
        <v>1587</v>
      </c>
      <c r="F176">
        <v>16</v>
      </c>
      <c r="G176" t="s">
        <v>1624</v>
      </c>
      <c r="H176" t="str">
        <f t="shared" si="2"/>
        <v>REDE 16 - BANDEIRA 16 - LOJA 175</v>
      </c>
      <c r="I176">
        <v>2</v>
      </c>
      <c r="J176" t="s">
        <v>1646</v>
      </c>
      <c r="K176">
        <v>3</v>
      </c>
      <c r="L176" t="s">
        <v>471</v>
      </c>
      <c r="M176">
        <v>2</v>
      </c>
      <c r="N176" t="s">
        <v>36</v>
      </c>
      <c r="O176">
        <v>2</v>
      </c>
      <c r="P176" t="s">
        <v>37</v>
      </c>
      <c r="Q176" t="s">
        <v>38</v>
      </c>
      <c r="R176">
        <v>2</v>
      </c>
      <c r="S176" t="s">
        <v>39</v>
      </c>
      <c r="T176" t="s">
        <v>472</v>
      </c>
      <c r="U176" s="1">
        <v>-236161012</v>
      </c>
      <c r="V176" s="1">
        <v>-466173549</v>
      </c>
      <c r="W176" t="s">
        <v>252</v>
      </c>
      <c r="X176">
        <v>1</v>
      </c>
      <c r="Y176" t="s">
        <v>34</v>
      </c>
    </row>
    <row r="177" spans="1:25" x14ac:dyDescent="0.3">
      <c r="A177">
        <v>176</v>
      </c>
      <c r="B177">
        <v>176</v>
      </c>
      <c r="C177">
        <v>61585865172017</v>
      </c>
      <c r="D177">
        <v>16</v>
      </c>
      <c r="E177" t="s">
        <v>1587</v>
      </c>
      <c r="F177">
        <v>16</v>
      </c>
      <c r="G177" t="s">
        <v>1624</v>
      </c>
      <c r="H177" t="str">
        <f t="shared" si="2"/>
        <v>REDE 16 - BANDEIRA 16 - LOJA 176</v>
      </c>
      <c r="I177">
        <v>2</v>
      </c>
      <c r="J177" t="s">
        <v>1646</v>
      </c>
      <c r="K177">
        <v>3</v>
      </c>
      <c r="L177" t="s">
        <v>473</v>
      </c>
      <c r="M177">
        <v>2</v>
      </c>
      <c r="N177" t="s">
        <v>36</v>
      </c>
      <c r="O177">
        <v>2</v>
      </c>
      <c r="P177" t="s">
        <v>37</v>
      </c>
      <c r="Q177" t="s">
        <v>38</v>
      </c>
      <c r="R177">
        <v>2</v>
      </c>
      <c r="S177" t="s">
        <v>39</v>
      </c>
      <c r="T177" t="s">
        <v>474</v>
      </c>
      <c r="U177" s="1">
        <v>-236565531</v>
      </c>
      <c r="V177" s="1">
        <v>-46691693</v>
      </c>
      <c r="W177" t="s">
        <v>475</v>
      </c>
      <c r="X177">
        <v>1</v>
      </c>
      <c r="Y177" t="s">
        <v>34</v>
      </c>
    </row>
    <row r="178" spans="1:25" x14ac:dyDescent="0.3">
      <c r="A178">
        <v>177</v>
      </c>
      <c r="B178">
        <v>177</v>
      </c>
      <c r="C178">
        <v>61585865119477</v>
      </c>
      <c r="D178">
        <v>16</v>
      </c>
      <c r="E178" t="s">
        <v>1587</v>
      </c>
      <c r="F178">
        <v>16</v>
      </c>
      <c r="G178" t="s">
        <v>1624</v>
      </c>
      <c r="H178" t="str">
        <f t="shared" si="2"/>
        <v>REDE 16 - BANDEIRA 16 - LOJA 177</v>
      </c>
      <c r="I178">
        <v>2</v>
      </c>
      <c r="J178" t="s">
        <v>1646</v>
      </c>
      <c r="K178">
        <v>3</v>
      </c>
      <c r="L178" t="s">
        <v>476</v>
      </c>
      <c r="M178">
        <v>2</v>
      </c>
      <c r="N178" t="s">
        <v>36</v>
      </c>
      <c r="O178">
        <v>2</v>
      </c>
      <c r="P178" t="s">
        <v>37</v>
      </c>
      <c r="Q178" t="s">
        <v>38</v>
      </c>
      <c r="R178">
        <v>2</v>
      </c>
      <c r="S178" t="s">
        <v>39</v>
      </c>
      <c r="T178" t="s">
        <v>477</v>
      </c>
      <c r="U178" s="1">
        <v>-235700274</v>
      </c>
      <c r="V178" s="1">
        <v>-466574461</v>
      </c>
      <c r="W178" t="s">
        <v>163</v>
      </c>
      <c r="X178">
        <v>1</v>
      </c>
      <c r="Y178" t="s">
        <v>34</v>
      </c>
    </row>
    <row r="179" spans="1:25" x14ac:dyDescent="0.3">
      <c r="A179">
        <v>178</v>
      </c>
      <c r="B179">
        <v>178</v>
      </c>
      <c r="C179">
        <v>61585865113860</v>
      </c>
      <c r="D179">
        <v>16</v>
      </c>
      <c r="E179" t="s">
        <v>1587</v>
      </c>
      <c r="F179">
        <v>16</v>
      </c>
      <c r="G179" t="s">
        <v>1624</v>
      </c>
      <c r="H179" t="str">
        <f t="shared" si="2"/>
        <v>REDE 16 - BANDEIRA 16 - LOJA 178</v>
      </c>
      <c r="I179">
        <v>2</v>
      </c>
      <c r="J179" t="s">
        <v>1646</v>
      </c>
      <c r="K179">
        <v>3</v>
      </c>
      <c r="L179" t="s">
        <v>478</v>
      </c>
      <c r="M179">
        <v>2</v>
      </c>
      <c r="N179" t="s">
        <v>36</v>
      </c>
      <c r="O179">
        <v>2</v>
      </c>
      <c r="P179" t="s">
        <v>37</v>
      </c>
      <c r="Q179" t="s">
        <v>38</v>
      </c>
      <c r="R179">
        <v>2</v>
      </c>
      <c r="S179" t="s">
        <v>39</v>
      </c>
      <c r="T179" t="s">
        <v>479</v>
      </c>
      <c r="U179" s="1">
        <v>-236078862</v>
      </c>
      <c r="V179" s="1">
        <v>-466599594</v>
      </c>
      <c r="W179" t="s">
        <v>423</v>
      </c>
      <c r="X179">
        <v>1</v>
      </c>
      <c r="Y179" t="s">
        <v>34</v>
      </c>
    </row>
    <row r="180" spans="1:25" x14ac:dyDescent="0.3">
      <c r="A180">
        <v>179</v>
      </c>
      <c r="B180">
        <v>179</v>
      </c>
      <c r="C180">
        <v>61585865217991</v>
      </c>
      <c r="D180">
        <v>16</v>
      </c>
      <c r="E180" t="s">
        <v>1587</v>
      </c>
      <c r="F180">
        <v>16</v>
      </c>
      <c r="G180" t="s">
        <v>1624</v>
      </c>
      <c r="H180" t="str">
        <f t="shared" si="2"/>
        <v>REDE 16 - BANDEIRA 16 - LOJA 179</v>
      </c>
      <c r="I180">
        <v>2</v>
      </c>
      <c r="J180" t="s">
        <v>1646</v>
      </c>
      <c r="K180">
        <v>3</v>
      </c>
      <c r="L180" t="s">
        <v>480</v>
      </c>
      <c r="M180">
        <v>2</v>
      </c>
      <c r="N180" t="s">
        <v>36</v>
      </c>
      <c r="O180">
        <v>2</v>
      </c>
      <c r="P180" t="s">
        <v>37</v>
      </c>
      <c r="Q180" t="s">
        <v>38</v>
      </c>
      <c r="R180">
        <v>2</v>
      </c>
      <c r="S180" t="s">
        <v>39</v>
      </c>
      <c r="T180" t="s">
        <v>481</v>
      </c>
      <c r="U180" s="1">
        <v>-236004974</v>
      </c>
      <c r="V180" s="1">
        <v>-466651576999999</v>
      </c>
      <c r="W180" t="s">
        <v>482</v>
      </c>
      <c r="X180">
        <v>1</v>
      </c>
      <c r="Y180" t="s">
        <v>34</v>
      </c>
    </row>
    <row r="181" spans="1:25" x14ac:dyDescent="0.3">
      <c r="A181">
        <v>180</v>
      </c>
      <c r="B181">
        <v>180</v>
      </c>
      <c r="C181">
        <v>61585865166637</v>
      </c>
      <c r="D181">
        <v>16</v>
      </c>
      <c r="E181" t="s">
        <v>1587</v>
      </c>
      <c r="F181">
        <v>16</v>
      </c>
      <c r="G181" t="s">
        <v>1624</v>
      </c>
      <c r="H181" t="str">
        <f t="shared" si="2"/>
        <v>REDE 16 - BANDEIRA 16 - LOJA 180</v>
      </c>
      <c r="I181">
        <v>2</v>
      </c>
      <c r="J181" t="s">
        <v>1646</v>
      </c>
      <c r="K181">
        <v>3</v>
      </c>
      <c r="L181" t="s">
        <v>483</v>
      </c>
      <c r="M181">
        <v>2</v>
      </c>
      <c r="N181" t="s">
        <v>36</v>
      </c>
      <c r="O181">
        <v>2</v>
      </c>
      <c r="P181" t="s">
        <v>37</v>
      </c>
      <c r="Q181" t="s">
        <v>38</v>
      </c>
      <c r="R181">
        <v>2</v>
      </c>
      <c r="S181" t="s">
        <v>39</v>
      </c>
      <c r="T181" t="s">
        <v>484</v>
      </c>
      <c r="U181" s="1">
        <v>-235415786</v>
      </c>
      <c r="V181" s="1">
        <v>-466651588999999</v>
      </c>
      <c r="W181" t="s">
        <v>485</v>
      </c>
      <c r="X181">
        <v>1</v>
      </c>
      <c r="Y181" t="s">
        <v>34</v>
      </c>
    </row>
    <row r="182" spans="1:25" x14ac:dyDescent="0.3">
      <c r="A182">
        <v>181</v>
      </c>
      <c r="B182">
        <v>181</v>
      </c>
      <c r="C182">
        <v>61585865217568</v>
      </c>
      <c r="D182">
        <v>16</v>
      </c>
      <c r="E182" t="s">
        <v>1587</v>
      </c>
      <c r="F182">
        <v>16</v>
      </c>
      <c r="G182" t="s">
        <v>1624</v>
      </c>
      <c r="H182" t="str">
        <f t="shared" si="2"/>
        <v>REDE 16 - BANDEIRA 16 - LOJA 181</v>
      </c>
      <c r="I182">
        <v>2</v>
      </c>
      <c r="J182" t="s">
        <v>1646</v>
      </c>
      <c r="K182">
        <v>3</v>
      </c>
      <c r="L182" t="s">
        <v>486</v>
      </c>
      <c r="M182">
        <v>2</v>
      </c>
      <c r="N182" t="s">
        <v>36</v>
      </c>
      <c r="O182">
        <v>2</v>
      </c>
      <c r="P182" t="s">
        <v>37</v>
      </c>
      <c r="Q182" t="s">
        <v>38</v>
      </c>
      <c r="R182">
        <v>2</v>
      </c>
      <c r="S182" t="s">
        <v>39</v>
      </c>
      <c r="T182" t="s">
        <v>487</v>
      </c>
      <c r="U182" s="1">
        <v>-235568371</v>
      </c>
      <c r="V182" s="1">
        <v>-466765511</v>
      </c>
      <c r="W182" t="s">
        <v>334</v>
      </c>
      <c r="X182">
        <v>1</v>
      </c>
      <c r="Y182" t="s">
        <v>34</v>
      </c>
    </row>
    <row r="183" spans="1:25" x14ac:dyDescent="0.3">
      <c r="A183">
        <v>182</v>
      </c>
      <c r="B183">
        <v>182</v>
      </c>
      <c r="C183">
        <v>61585865136568</v>
      </c>
      <c r="D183">
        <v>16</v>
      </c>
      <c r="E183" t="s">
        <v>1587</v>
      </c>
      <c r="F183">
        <v>16</v>
      </c>
      <c r="G183" t="s">
        <v>1624</v>
      </c>
      <c r="H183" t="str">
        <f t="shared" si="2"/>
        <v>REDE 16 - BANDEIRA 16 - LOJA 182</v>
      </c>
      <c r="I183">
        <v>2</v>
      </c>
      <c r="J183" t="s">
        <v>1646</v>
      </c>
      <c r="K183">
        <v>3</v>
      </c>
      <c r="L183" t="s">
        <v>488</v>
      </c>
      <c r="M183">
        <v>2</v>
      </c>
      <c r="N183" t="s">
        <v>36</v>
      </c>
      <c r="O183">
        <v>2</v>
      </c>
      <c r="P183" t="s">
        <v>37</v>
      </c>
      <c r="Q183" t="s">
        <v>38</v>
      </c>
      <c r="R183">
        <v>2</v>
      </c>
      <c r="S183" t="s">
        <v>39</v>
      </c>
      <c r="T183" t="s">
        <v>489</v>
      </c>
      <c r="U183" s="1">
        <v>-236256612</v>
      </c>
      <c r="V183" s="1">
        <v>-466455378</v>
      </c>
      <c r="W183" t="s">
        <v>423</v>
      </c>
      <c r="X183">
        <v>1</v>
      </c>
      <c r="Y183" t="s">
        <v>34</v>
      </c>
    </row>
    <row r="184" spans="1:25" x14ac:dyDescent="0.3">
      <c r="A184">
        <v>183</v>
      </c>
      <c r="B184">
        <v>183</v>
      </c>
      <c r="C184">
        <v>61585865138854</v>
      </c>
      <c r="D184">
        <v>16</v>
      </c>
      <c r="E184" t="s">
        <v>1587</v>
      </c>
      <c r="F184">
        <v>16</v>
      </c>
      <c r="G184" t="s">
        <v>1624</v>
      </c>
      <c r="H184" t="str">
        <f t="shared" si="2"/>
        <v>REDE 16 - BANDEIRA 16 - LOJA 183</v>
      </c>
      <c r="I184">
        <v>2</v>
      </c>
      <c r="J184" t="s">
        <v>1646</v>
      </c>
      <c r="K184">
        <v>3</v>
      </c>
      <c r="L184" t="s">
        <v>490</v>
      </c>
      <c r="M184">
        <v>2</v>
      </c>
      <c r="N184" t="s">
        <v>36</v>
      </c>
      <c r="O184">
        <v>2</v>
      </c>
      <c r="P184" t="s">
        <v>37</v>
      </c>
      <c r="Q184" t="s">
        <v>38</v>
      </c>
      <c r="R184">
        <v>2</v>
      </c>
      <c r="S184" t="s">
        <v>39</v>
      </c>
      <c r="T184" t="s">
        <v>57</v>
      </c>
      <c r="U184" s="1">
        <v>-235065355</v>
      </c>
      <c r="V184" s="1">
        <v>-466428911</v>
      </c>
      <c r="W184" t="s">
        <v>58</v>
      </c>
      <c r="X184">
        <v>1</v>
      </c>
      <c r="Y184" t="s">
        <v>34</v>
      </c>
    </row>
    <row r="185" spans="1:25" x14ac:dyDescent="0.3">
      <c r="A185">
        <v>184</v>
      </c>
      <c r="B185">
        <v>184</v>
      </c>
      <c r="C185">
        <v>61585865181431</v>
      </c>
      <c r="D185">
        <v>16</v>
      </c>
      <c r="E185" t="s">
        <v>1587</v>
      </c>
      <c r="F185">
        <v>16</v>
      </c>
      <c r="G185" t="s">
        <v>1624</v>
      </c>
      <c r="H185" t="str">
        <f t="shared" si="2"/>
        <v>REDE 16 - BANDEIRA 16 - LOJA 184</v>
      </c>
      <c r="I185">
        <v>2</v>
      </c>
      <c r="J185" t="s">
        <v>1646</v>
      </c>
      <c r="K185">
        <v>3</v>
      </c>
      <c r="L185" t="s">
        <v>491</v>
      </c>
      <c r="M185">
        <v>2</v>
      </c>
      <c r="N185" t="s">
        <v>36</v>
      </c>
      <c r="O185">
        <v>2</v>
      </c>
      <c r="P185" t="s">
        <v>37</v>
      </c>
      <c r="Q185" t="s">
        <v>38</v>
      </c>
      <c r="R185">
        <v>2</v>
      </c>
      <c r="S185" t="s">
        <v>39</v>
      </c>
      <c r="T185" t="s">
        <v>492</v>
      </c>
      <c r="U185" s="1">
        <v>-235359515</v>
      </c>
      <c r="V185" s="1">
        <v>-465729477</v>
      </c>
      <c r="W185" t="s">
        <v>493</v>
      </c>
      <c r="X185">
        <v>1</v>
      </c>
      <c r="Y185" t="s">
        <v>34</v>
      </c>
    </row>
    <row r="186" spans="1:25" x14ac:dyDescent="0.3">
      <c r="A186">
        <v>185</v>
      </c>
      <c r="B186">
        <v>185</v>
      </c>
      <c r="C186">
        <v>61585865294635</v>
      </c>
      <c r="D186">
        <v>16</v>
      </c>
      <c r="E186" t="s">
        <v>1587</v>
      </c>
      <c r="F186">
        <v>16</v>
      </c>
      <c r="G186" t="s">
        <v>1624</v>
      </c>
      <c r="H186" t="str">
        <f t="shared" si="2"/>
        <v>REDE 16 - BANDEIRA 16 - LOJA 185</v>
      </c>
      <c r="I186">
        <v>2</v>
      </c>
      <c r="J186" t="s">
        <v>1646</v>
      </c>
      <c r="K186">
        <v>3</v>
      </c>
      <c r="L186" t="s">
        <v>494</v>
      </c>
      <c r="M186">
        <v>2</v>
      </c>
      <c r="N186" t="s">
        <v>36</v>
      </c>
      <c r="O186">
        <v>2</v>
      </c>
      <c r="P186" t="s">
        <v>37</v>
      </c>
      <c r="Q186" t="s">
        <v>38</v>
      </c>
      <c r="R186">
        <v>2</v>
      </c>
      <c r="S186" t="s">
        <v>39</v>
      </c>
      <c r="T186" t="s">
        <v>495</v>
      </c>
      <c r="U186" s="1">
        <v>-235174841</v>
      </c>
      <c r="V186" s="1">
        <v>-46617123</v>
      </c>
      <c r="W186" t="s">
        <v>496</v>
      </c>
      <c r="X186">
        <v>1</v>
      </c>
      <c r="Y186" t="s">
        <v>34</v>
      </c>
    </row>
    <row r="187" spans="1:25" x14ac:dyDescent="0.3">
      <c r="A187">
        <v>186</v>
      </c>
      <c r="B187">
        <v>186</v>
      </c>
      <c r="C187">
        <v>61585865135162</v>
      </c>
      <c r="D187">
        <v>16</v>
      </c>
      <c r="E187" t="s">
        <v>1587</v>
      </c>
      <c r="F187">
        <v>16</v>
      </c>
      <c r="G187" t="s">
        <v>1624</v>
      </c>
      <c r="H187" t="str">
        <f t="shared" si="2"/>
        <v>REDE 16 - BANDEIRA 16 - LOJA 186</v>
      </c>
      <c r="I187">
        <v>2</v>
      </c>
      <c r="J187" t="s">
        <v>1646</v>
      </c>
      <c r="K187">
        <v>3</v>
      </c>
      <c r="L187" t="s">
        <v>497</v>
      </c>
      <c r="M187">
        <v>2</v>
      </c>
      <c r="N187" t="s">
        <v>36</v>
      </c>
      <c r="O187">
        <v>2</v>
      </c>
      <c r="P187" t="s">
        <v>37</v>
      </c>
      <c r="Q187" t="s">
        <v>38</v>
      </c>
      <c r="R187">
        <v>2</v>
      </c>
      <c r="S187" t="s">
        <v>39</v>
      </c>
      <c r="T187" t="s">
        <v>498</v>
      </c>
      <c r="U187" s="1">
        <v>-236008666</v>
      </c>
      <c r="V187" s="1">
        <v>-466790523</v>
      </c>
      <c r="W187" t="s">
        <v>347</v>
      </c>
      <c r="X187">
        <v>1</v>
      </c>
      <c r="Y187" t="s">
        <v>34</v>
      </c>
    </row>
    <row r="188" spans="1:25" x14ac:dyDescent="0.3">
      <c r="A188">
        <v>187</v>
      </c>
      <c r="B188">
        <v>187</v>
      </c>
      <c r="C188">
        <v>61585865170740</v>
      </c>
      <c r="D188">
        <v>16</v>
      </c>
      <c r="E188" t="s">
        <v>1587</v>
      </c>
      <c r="F188">
        <v>16</v>
      </c>
      <c r="G188" t="s">
        <v>1624</v>
      </c>
      <c r="H188" t="str">
        <f t="shared" si="2"/>
        <v>REDE 16 - BANDEIRA 16 - LOJA 187</v>
      </c>
      <c r="I188">
        <v>2</v>
      </c>
      <c r="J188" t="s">
        <v>1646</v>
      </c>
      <c r="K188">
        <v>3</v>
      </c>
      <c r="L188" t="s">
        <v>499</v>
      </c>
      <c r="M188">
        <v>2</v>
      </c>
      <c r="N188" t="s">
        <v>36</v>
      </c>
      <c r="O188">
        <v>2</v>
      </c>
      <c r="P188" t="s">
        <v>37</v>
      </c>
      <c r="Q188" t="s">
        <v>38</v>
      </c>
      <c r="R188">
        <v>2</v>
      </c>
      <c r="S188" t="s">
        <v>39</v>
      </c>
      <c r="T188" t="s">
        <v>500</v>
      </c>
      <c r="U188" s="1">
        <v>-235912455</v>
      </c>
      <c r="V188" s="1">
        <v>-466759832</v>
      </c>
      <c r="W188" t="s">
        <v>157</v>
      </c>
      <c r="X188">
        <v>1</v>
      </c>
      <c r="Y188" t="s">
        <v>34</v>
      </c>
    </row>
    <row r="189" spans="1:25" x14ac:dyDescent="0.3">
      <c r="A189">
        <v>188</v>
      </c>
      <c r="B189">
        <v>188</v>
      </c>
      <c r="C189">
        <v>61585865166203</v>
      </c>
      <c r="D189">
        <v>16</v>
      </c>
      <c r="E189" t="s">
        <v>1587</v>
      </c>
      <c r="F189">
        <v>16</v>
      </c>
      <c r="G189" t="s">
        <v>1624</v>
      </c>
      <c r="H189" t="str">
        <f t="shared" si="2"/>
        <v>REDE 16 - BANDEIRA 16 - LOJA 188</v>
      </c>
      <c r="I189">
        <v>2</v>
      </c>
      <c r="J189" t="s">
        <v>1646</v>
      </c>
      <c r="K189">
        <v>3</v>
      </c>
      <c r="L189" t="s">
        <v>501</v>
      </c>
      <c r="M189">
        <v>2</v>
      </c>
      <c r="N189" t="s">
        <v>36</v>
      </c>
      <c r="O189">
        <v>2</v>
      </c>
      <c r="P189" t="s">
        <v>37</v>
      </c>
      <c r="Q189" t="s">
        <v>38</v>
      </c>
      <c r="R189">
        <v>2</v>
      </c>
      <c r="S189" t="s">
        <v>39</v>
      </c>
      <c r="T189" t="s">
        <v>502</v>
      </c>
      <c r="U189" s="1">
        <v>-236209545</v>
      </c>
      <c r="V189" s="1">
        <v>-467381409</v>
      </c>
      <c r="W189" t="s">
        <v>438</v>
      </c>
      <c r="X189">
        <v>1</v>
      </c>
      <c r="Y189" t="s">
        <v>34</v>
      </c>
    </row>
    <row r="190" spans="1:25" x14ac:dyDescent="0.3">
      <c r="A190">
        <v>189</v>
      </c>
      <c r="B190">
        <v>189</v>
      </c>
      <c r="C190">
        <v>61585865179453</v>
      </c>
      <c r="D190">
        <v>16</v>
      </c>
      <c r="E190" t="s">
        <v>1587</v>
      </c>
      <c r="F190">
        <v>16</v>
      </c>
      <c r="G190" t="s">
        <v>1624</v>
      </c>
      <c r="H190" t="str">
        <f t="shared" si="2"/>
        <v>REDE 16 - BANDEIRA 16 - LOJA 189</v>
      </c>
      <c r="I190">
        <v>2</v>
      </c>
      <c r="J190" t="s">
        <v>1646</v>
      </c>
      <c r="K190">
        <v>3</v>
      </c>
      <c r="L190" t="s">
        <v>503</v>
      </c>
      <c r="M190">
        <v>2</v>
      </c>
      <c r="N190" t="s">
        <v>36</v>
      </c>
      <c r="O190">
        <v>2</v>
      </c>
      <c r="P190" t="s">
        <v>37</v>
      </c>
      <c r="Q190" t="s">
        <v>38</v>
      </c>
      <c r="R190">
        <v>2</v>
      </c>
      <c r="S190" t="s">
        <v>39</v>
      </c>
      <c r="T190" t="s">
        <v>504</v>
      </c>
      <c r="U190" s="1">
        <v>-235987023</v>
      </c>
      <c r="V190" s="1">
        <v>-466407224</v>
      </c>
      <c r="W190" t="s">
        <v>505</v>
      </c>
      <c r="X190">
        <v>1</v>
      </c>
      <c r="Y190" t="s">
        <v>34</v>
      </c>
    </row>
    <row r="191" spans="1:25" x14ac:dyDescent="0.3">
      <c r="A191">
        <v>190</v>
      </c>
      <c r="B191">
        <v>190</v>
      </c>
      <c r="C191">
        <v>61585865218106</v>
      </c>
      <c r="D191">
        <v>16</v>
      </c>
      <c r="E191" t="s">
        <v>1587</v>
      </c>
      <c r="F191">
        <v>16</v>
      </c>
      <c r="G191" t="s">
        <v>1624</v>
      </c>
      <c r="H191" t="str">
        <f t="shared" si="2"/>
        <v>REDE 16 - BANDEIRA 16 - LOJA 190</v>
      </c>
      <c r="I191">
        <v>2</v>
      </c>
      <c r="J191" t="s">
        <v>1646</v>
      </c>
      <c r="K191">
        <v>3</v>
      </c>
      <c r="L191" t="s">
        <v>506</v>
      </c>
      <c r="M191">
        <v>2</v>
      </c>
      <c r="N191" t="s">
        <v>36</v>
      </c>
      <c r="O191">
        <v>2</v>
      </c>
      <c r="P191" t="s">
        <v>37</v>
      </c>
      <c r="Q191" t="s">
        <v>38</v>
      </c>
      <c r="R191">
        <v>2</v>
      </c>
      <c r="S191" t="s">
        <v>39</v>
      </c>
      <c r="T191" t="s">
        <v>507</v>
      </c>
      <c r="U191" s="1">
        <v>-236024581</v>
      </c>
      <c r="V191" s="1">
        <v>-466448517</v>
      </c>
      <c r="W191" t="s">
        <v>505</v>
      </c>
      <c r="X191">
        <v>1</v>
      </c>
      <c r="Y191" t="s">
        <v>34</v>
      </c>
    </row>
    <row r="192" spans="1:25" x14ac:dyDescent="0.3">
      <c r="A192">
        <v>191</v>
      </c>
      <c r="B192">
        <v>191</v>
      </c>
      <c r="C192">
        <v>61585865270108</v>
      </c>
      <c r="D192">
        <v>16</v>
      </c>
      <c r="E192" t="s">
        <v>1587</v>
      </c>
      <c r="F192">
        <v>16</v>
      </c>
      <c r="G192" t="s">
        <v>1624</v>
      </c>
      <c r="H192" t="str">
        <f t="shared" si="2"/>
        <v>REDE 16 - BANDEIRA 16 - LOJA 191</v>
      </c>
      <c r="I192">
        <v>2</v>
      </c>
      <c r="J192" t="s">
        <v>1646</v>
      </c>
      <c r="K192">
        <v>3</v>
      </c>
      <c r="L192" t="s">
        <v>508</v>
      </c>
      <c r="M192">
        <v>2</v>
      </c>
      <c r="N192" t="s">
        <v>36</v>
      </c>
      <c r="O192">
        <v>2</v>
      </c>
      <c r="P192" t="s">
        <v>37</v>
      </c>
      <c r="Q192" t="s">
        <v>38</v>
      </c>
      <c r="R192">
        <v>2</v>
      </c>
      <c r="S192" t="s">
        <v>39</v>
      </c>
      <c r="T192" t="s">
        <v>509</v>
      </c>
      <c r="U192" s="1">
        <v>-23528106</v>
      </c>
      <c r="V192" s="1">
        <v>-467248682</v>
      </c>
      <c r="W192" t="s">
        <v>510</v>
      </c>
      <c r="X192">
        <v>1</v>
      </c>
      <c r="Y192" t="s">
        <v>34</v>
      </c>
    </row>
    <row r="193" spans="1:25" x14ac:dyDescent="0.3">
      <c r="A193">
        <v>192</v>
      </c>
      <c r="B193">
        <v>192</v>
      </c>
      <c r="C193">
        <v>61585865112464</v>
      </c>
      <c r="D193">
        <v>16</v>
      </c>
      <c r="E193" t="s">
        <v>1587</v>
      </c>
      <c r="F193">
        <v>16</v>
      </c>
      <c r="G193" t="s">
        <v>1624</v>
      </c>
      <c r="H193" t="str">
        <f t="shared" si="2"/>
        <v>REDE 16 - BANDEIRA 16 - LOJA 192</v>
      </c>
      <c r="I193">
        <v>2</v>
      </c>
      <c r="J193" t="s">
        <v>1646</v>
      </c>
      <c r="K193">
        <v>3</v>
      </c>
      <c r="L193" t="s">
        <v>511</v>
      </c>
      <c r="M193">
        <v>2</v>
      </c>
      <c r="N193" t="s">
        <v>36</v>
      </c>
      <c r="O193">
        <v>2</v>
      </c>
      <c r="P193" t="s">
        <v>37</v>
      </c>
      <c r="Q193" t="s">
        <v>38</v>
      </c>
      <c r="R193">
        <v>2</v>
      </c>
      <c r="S193" t="s">
        <v>39</v>
      </c>
      <c r="T193" t="s">
        <v>512</v>
      </c>
      <c r="U193" s="1">
        <v>-235284695</v>
      </c>
      <c r="V193" s="1">
        <v>-46690278</v>
      </c>
      <c r="W193" t="s">
        <v>379</v>
      </c>
      <c r="X193">
        <v>1</v>
      </c>
      <c r="Y193" t="s">
        <v>34</v>
      </c>
    </row>
    <row r="194" spans="1:25" x14ac:dyDescent="0.3">
      <c r="A194">
        <v>193</v>
      </c>
      <c r="B194">
        <v>193</v>
      </c>
      <c r="C194">
        <v>61585865026975</v>
      </c>
      <c r="D194">
        <v>16</v>
      </c>
      <c r="E194" t="s">
        <v>1587</v>
      </c>
      <c r="F194">
        <v>16</v>
      </c>
      <c r="G194" t="s">
        <v>1624</v>
      </c>
      <c r="H194" t="str">
        <f t="shared" si="2"/>
        <v>REDE 16 - BANDEIRA 16 - LOJA 193</v>
      </c>
      <c r="I194">
        <v>2</v>
      </c>
      <c r="J194" t="s">
        <v>1646</v>
      </c>
      <c r="K194">
        <v>3</v>
      </c>
      <c r="L194" t="s">
        <v>514</v>
      </c>
      <c r="M194">
        <v>2</v>
      </c>
      <c r="N194" t="s">
        <v>36</v>
      </c>
      <c r="O194">
        <v>2</v>
      </c>
      <c r="P194" t="s">
        <v>37</v>
      </c>
      <c r="Q194" t="s">
        <v>38</v>
      </c>
      <c r="R194">
        <v>2</v>
      </c>
      <c r="S194" t="s">
        <v>39</v>
      </c>
      <c r="T194" t="s">
        <v>515</v>
      </c>
      <c r="U194" s="1">
        <v>-235841116</v>
      </c>
      <c r="V194" s="1">
        <v>-466801417</v>
      </c>
      <c r="W194" t="s">
        <v>516</v>
      </c>
      <c r="X194">
        <v>1</v>
      </c>
      <c r="Y194" t="s">
        <v>34</v>
      </c>
    </row>
    <row r="195" spans="1:25" x14ac:dyDescent="0.3">
      <c r="A195">
        <v>194</v>
      </c>
      <c r="B195">
        <v>194</v>
      </c>
      <c r="C195">
        <v>61585865027785</v>
      </c>
      <c r="D195">
        <v>16</v>
      </c>
      <c r="E195" t="s">
        <v>1587</v>
      </c>
      <c r="F195">
        <v>16</v>
      </c>
      <c r="G195" t="s">
        <v>1624</v>
      </c>
      <c r="H195" t="str">
        <f t="shared" ref="H195:H258" si="3">G195 &amp; " - "&amp; E195 &amp;" - LOJA " &amp;B195</f>
        <v>REDE 16 - BANDEIRA 16 - LOJA 194</v>
      </c>
      <c r="I195">
        <v>2</v>
      </c>
      <c r="J195" t="s">
        <v>1646</v>
      </c>
      <c r="K195">
        <v>3</v>
      </c>
      <c r="L195" t="s">
        <v>517</v>
      </c>
      <c r="M195">
        <v>2</v>
      </c>
      <c r="N195" t="s">
        <v>36</v>
      </c>
      <c r="O195">
        <v>2</v>
      </c>
      <c r="P195" t="s">
        <v>37</v>
      </c>
      <c r="Q195" t="s">
        <v>38</v>
      </c>
      <c r="R195">
        <v>2</v>
      </c>
      <c r="S195" t="s">
        <v>39</v>
      </c>
      <c r="T195" t="s">
        <v>518</v>
      </c>
      <c r="U195" s="1">
        <v>-235861926</v>
      </c>
      <c r="V195" s="1">
        <v>-466953101999999</v>
      </c>
      <c r="W195" t="s">
        <v>380</v>
      </c>
      <c r="X195">
        <v>1</v>
      </c>
      <c r="Y195" t="s">
        <v>34</v>
      </c>
    </row>
    <row r="196" spans="1:25" x14ac:dyDescent="0.3">
      <c r="A196">
        <v>195</v>
      </c>
      <c r="B196">
        <v>195</v>
      </c>
      <c r="C196">
        <v>61585865171126</v>
      </c>
      <c r="D196">
        <v>16</v>
      </c>
      <c r="E196" t="s">
        <v>1587</v>
      </c>
      <c r="F196">
        <v>16</v>
      </c>
      <c r="G196" t="s">
        <v>1624</v>
      </c>
      <c r="H196" t="str">
        <f t="shared" si="3"/>
        <v>REDE 16 - BANDEIRA 16 - LOJA 195</v>
      </c>
      <c r="I196">
        <v>2</v>
      </c>
      <c r="J196" t="s">
        <v>1646</v>
      </c>
      <c r="K196">
        <v>3</v>
      </c>
      <c r="L196" t="s">
        <v>519</v>
      </c>
      <c r="M196">
        <v>6</v>
      </c>
      <c r="N196" t="s">
        <v>236</v>
      </c>
      <c r="O196">
        <v>5</v>
      </c>
      <c r="P196" t="s">
        <v>237</v>
      </c>
      <c r="Q196" t="s">
        <v>238</v>
      </c>
      <c r="R196">
        <v>4</v>
      </c>
      <c r="S196" t="s">
        <v>239</v>
      </c>
      <c r="T196" t="s">
        <v>520</v>
      </c>
      <c r="U196" s="1">
        <v>-374410289999999</v>
      </c>
      <c r="V196" s="1">
        <v>-385075228</v>
      </c>
      <c r="W196" t="s">
        <v>241</v>
      </c>
      <c r="X196">
        <v>1</v>
      </c>
      <c r="Y196" t="s">
        <v>34</v>
      </c>
    </row>
    <row r="197" spans="1:25" x14ac:dyDescent="0.3">
      <c r="A197">
        <v>196</v>
      </c>
      <c r="B197">
        <v>196</v>
      </c>
      <c r="C197">
        <v>61585865106146</v>
      </c>
      <c r="D197">
        <v>16</v>
      </c>
      <c r="E197" t="s">
        <v>1587</v>
      </c>
      <c r="F197">
        <v>16</v>
      </c>
      <c r="G197" t="s">
        <v>1624</v>
      </c>
      <c r="H197" t="str">
        <f t="shared" si="3"/>
        <v>REDE 16 - BANDEIRA 16 - LOJA 196</v>
      </c>
      <c r="I197">
        <v>2</v>
      </c>
      <c r="J197" t="s">
        <v>1646</v>
      </c>
      <c r="K197">
        <v>3</v>
      </c>
      <c r="L197" t="s">
        <v>521</v>
      </c>
      <c r="M197">
        <v>2</v>
      </c>
      <c r="N197" t="s">
        <v>36</v>
      </c>
      <c r="O197">
        <v>2</v>
      </c>
      <c r="P197" t="s">
        <v>37</v>
      </c>
      <c r="Q197" t="s">
        <v>38</v>
      </c>
      <c r="R197">
        <v>2</v>
      </c>
      <c r="S197" t="s">
        <v>39</v>
      </c>
      <c r="T197" t="s">
        <v>522</v>
      </c>
      <c r="U197" s="1">
        <v>-2357429</v>
      </c>
      <c r="V197" s="1">
        <v>-466508981</v>
      </c>
      <c r="W197" t="s">
        <v>264</v>
      </c>
      <c r="X197">
        <v>1</v>
      </c>
      <c r="Y197" t="s">
        <v>34</v>
      </c>
    </row>
    <row r="198" spans="1:25" x14ac:dyDescent="0.3">
      <c r="A198">
        <v>197</v>
      </c>
      <c r="B198">
        <v>197</v>
      </c>
      <c r="C198">
        <v>61585865032355</v>
      </c>
      <c r="D198">
        <v>16</v>
      </c>
      <c r="E198" t="s">
        <v>1587</v>
      </c>
      <c r="F198">
        <v>16</v>
      </c>
      <c r="G198" t="s">
        <v>1624</v>
      </c>
      <c r="H198" t="str">
        <f t="shared" si="3"/>
        <v>REDE 16 - BANDEIRA 16 - LOJA 197</v>
      </c>
      <c r="I198">
        <v>2</v>
      </c>
      <c r="J198" t="s">
        <v>1646</v>
      </c>
      <c r="K198">
        <v>3</v>
      </c>
      <c r="L198" t="s">
        <v>523</v>
      </c>
      <c r="M198">
        <v>2</v>
      </c>
      <c r="N198" t="s">
        <v>36</v>
      </c>
      <c r="O198">
        <v>2</v>
      </c>
      <c r="P198" t="s">
        <v>37</v>
      </c>
      <c r="Q198" t="s">
        <v>38</v>
      </c>
      <c r="R198">
        <v>2</v>
      </c>
      <c r="S198" t="s">
        <v>39</v>
      </c>
      <c r="T198" t="s">
        <v>524</v>
      </c>
      <c r="U198" s="1">
        <v>-235341254</v>
      </c>
      <c r="V198" s="1">
        <v>-467280439</v>
      </c>
      <c r="W198" t="s">
        <v>417</v>
      </c>
      <c r="X198">
        <v>1</v>
      </c>
      <c r="Y198" t="s">
        <v>34</v>
      </c>
    </row>
    <row r="199" spans="1:25" x14ac:dyDescent="0.3">
      <c r="A199">
        <v>198</v>
      </c>
      <c r="B199">
        <v>198</v>
      </c>
      <c r="C199">
        <v>61585865109323</v>
      </c>
      <c r="D199">
        <v>16</v>
      </c>
      <c r="E199" t="s">
        <v>1587</v>
      </c>
      <c r="F199">
        <v>16</v>
      </c>
      <c r="G199" t="s">
        <v>1624</v>
      </c>
      <c r="H199" t="str">
        <f t="shared" si="3"/>
        <v>REDE 16 - BANDEIRA 16 - LOJA 198</v>
      </c>
      <c r="I199">
        <v>2</v>
      </c>
      <c r="J199" t="s">
        <v>1646</v>
      </c>
      <c r="K199">
        <v>3</v>
      </c>
      <c r="L199" t="s">
        <v>525</v>
      </c>
      <c r="M199">
        <v>2</v>
      </c>
      <c r="N199" t="s">
        <v>36</v>
      </c>
      <c r="O199">
        <v>2</v>
      </c>
      <c r="P199" t="s">
        <v>37</v>
      </c>
      <c r="Q199" t="s">
        <v>38</v>
      </c>
      <c r="R199">
        <v>2</v>
      </c>
      <c r="S199" t="s">
        <v>39</v>
      </c>
      <c r="T199" t="s">
        <v>526</v>
      </c>
      <c r="U199" s="1">
        <v>-235862793</v>
      </c>
      <c r="V199" s="1">
        <v>-46634317</v>
      </c>
      <c r="W199" t="s">
        <v>264</v>
      </c>
      <c r="X199">
        <v>1</v>
      </c>
      <c r="Y199" t="s">
        <v>34</v>
      </c>
    </row>
    <row r="200" spans="1:25" x14ac:dyDescent="0.3">
      <c r="A200">
        <v>199</v>
      </c>
      <c r="B200">
        <v>199</v>
      </c>
      <c r="C200">
        <v>42762601000181</v>
      </c>
      <c r="D200">
        <v>17</v>
      </c>
      <c r="E200" t="s">
        <v>1588</v>
      </c>
      <c r="F200">
        <v>17</v>
      </c>
      <c r="G200" t="s">
        <v>1625</v>
      </c>
      <c r="H200" t="str">
        <f t="shared" si="3"/>
        <v>REDE 17 - BANDEIRA 17 - LOJA 199</v>
      </c>
      <c r="I200">
        <v>1</v>
      </c>
      <c r="J200" t="s">
        <v>26</v>
      </c>
      <c r="K200">
        <v>1</v>
      </c>
      <c r="L200" t="s">
        <v>184</v>
      </c>
      <c r="M200">
        <v>1</v>
      </c>
      <c r="N200" t="s">
        <v>28</v>
      </c>
      <c r="O200">
        <v>1</v>
      </c>
      <c r="P200" t="s">
        <v>29</v>
      </c>
      <c r="Q200" t="s">
        <v>30</v>
      </c>
      <c r="R200">
        <v>1</v>
      </c>
      <c r="S200" t="s">
        <v>31</v>
      </c>
      <c r="T200" t="s">
        <v>185</v>
      </c>
      <c r="U200" s="1">
        <v>-254351398</v>
      </c>
      <c r="V200" s="1">
        <v>-493167883</v>
      </c>
      <c r="W200" t="s">
        <v>226</v>
      </c>
      <c r="X200">
        <v>1</v>
      </c>
      <c r="Y200" t="s">
        <v>34</v>
      </c>
    </row>
    <row r="201" spans="1:25" x14ac:dyDescent="0.3">
      <c r="A201">
        <v>200</v>
      </c>
      <c r="B201">
        <v>200</v>
      </c>
      <c r="C201">
        <v>29613164002039</v>
      </c>
      <c r="D201">
        <v>18</v>
      </c>
      <c r="E201" t="s">
        <v>1589</v>
      </c>
      <c r="F201">
        <v>18</v>
      </c>
      <c r="G201" t="s">
        <v>1626</v>
      </c>
      <c r="H201" t="str">
        <f t="shared" si="3"/>
        <v>REDE 18 - BANDEIRA 18 - LOJA 200</v>
      </c>
      <c r="I201">
        <v>1</v>
      </c>
      <c r="J201" t="s">
        <v>26</v>
      </c>
      <c r="K201">
        <v>1</v>
      </c>
      <c r="L201" t="s">
        <v>527</v>
      </c>
      <c r="M201">
        <v>3</v>
      </c>
      <c r="N201" t="s">
        <v>43</v>
      </c>
      <c r="O201">
        <v>3</v>
      </c>
      <c r="P201" t="s">
        <v>44</v>
      </c>
      <c r="Q201" t="s">
        <v>43</v>
      </c>
      <c r="R201">
        <v>2</v>
      </c>
      <c r="S201" t="s">
        <v>39</v>
      </c>
      <c r="T201" t="s">
        <v>528</v>
      </c>
      <c r="U201" s="1">
        <v>-2310324</v>
      </c>
      <c r="V201" s="1">
        <v>-434430886</v>
      </c>
      <c r="W201" t="s">
        <v>109</v>
      </c>
      <c r="X201">
        <v>1</v>
      </c>
      <c r="Y201" t="s">
        <v>34</v>
      </c>
    </row>
    <row r="202" spans="1:25" x14ac:dyDescent="0.3">
      <c r="A202">
        <v>201</v>
      </c>
      <c r="B202">
        <v>201</v>
      </c>
      <c r="C202">
        <v>29613164000176</v>
      </c>
      <c r="D202">
        <v>18</v>
      </c>
      <c r="E202" t="s">
        <v>1589</v>
      </c>
      <c r="F202">
        <v>18</v>
      </c>
      <c r="G202" t="s">
        <v>1626</v>
      </c>
      <c r="H202" t="str">
        <f t="shared" si="3"/>
        <v>REDE 18 - BANDEIRA 18 - LOJA 201</v>
      </c>
      <c r="I202">
        <v>1</v>
      </c>
      <c r="J202" t="s">
        <v>26</v>
      </c>
      <c r="K202">
        <v>1</v>
      </c>
      <c r="L202" t="s">
        <v>529</v>
      </c>
      <c r="M202">
        <v>3</v>
      </c>
      <c r="N202" t="s">
        <v>43</v>
      </c>
      <c r="O202">
        <v>3</v>
      </c>
      <c r="P202" t="s">
        <v>44</v>
      </c>
      <c r="Q202" t="s">
        <v>43</v>
      </c>
      <c r="R202">
        <v>2</v>
      </c>
      <c r="S202" t="s">
        <v>39</v>
      </c>
      <c r="T202" t="s">
        <v>530</v>
      </c>
      <c r="U202" s="1">
        <v>-229720998</v>
      </c>
      <c r="V202" s="1">
        <v>-431873244</v>
      </c>
      <c r="W202" t="s">
        <v>135</v>
      </c>
      <c r="X202">
        <v>1</v>
      </c>
      <c r="Y202" t="s">
        <v>34</v>
      </c>
    </row>
    <row r="203" spans="1:25" x14ac:dyDescent="0.3">
      <c r="A203">
        <v>202</v>
      </c>
      <c r="B203">
        <v>202</v>
      </c>
      <c r="C203">
        <v>29613164002209</v>
      </c>
      <c r="D203">
        <v>18</v>
      </c>
      <c r="E203" t="s">
        <v>1589</v>
      </c>
      <c r="F203">
        <v>18</v>
      </c>
      <c r="G203" t="s">
        <v>1626</v>
      </c>
      <c r="H203" t="str">
        <f t="shared" si="3"/>
        <v>REDE 18 - BANDEIRA 18 - LOJA 202</v>
      </c>
      <c r="I203">
        <v>1</v>
      </c>
      <c r="J203" t="s">
        <v>26</v>
      </c>
      <c r="K203">
        <v>1</v>
      </c>
      <c r="L203" t="s">
        <v>531</v>
      </c>
      <c r="M203">
        <v>3</v>
      </c>
      <c r="N203" t="s">
        <v>43</v>
      </c>
      <c r="O203">
        <v>3</v>
      </c>
      <c r="P203" t="s">
        <v>44</v>
      </c>
      <c r="Q203" t="s">
        <v>43</v>
      </c>
      <c r="R203">
        <v>2</v>
      </c>
      <c r="S203" t="s">
        <v>39</v>
      </c>
      <c r="T203" t="s">
        <v>532</v>
      </c>
      <c r="U203" s="1">
        <v>-2312022</v>
      </c>
      <c r="V203" s="1">
        <v>-433842843</v>
      </c>
      <c r="W203" t="s">
        <v>115</v>
      </c>
      <c r="X203">
        <v>1</v>
      </c>
      <c r="Y203" t="s">
        <v>34</v>
      </c>
    </row>
    <row r="204" spans="1:25" x14ac:dyDescent="0.3">
      <c r="A204">
        <v>203</v>
      </c>
      <c r="B204">
        <v>203</v>
      </c>
      <c r="C204">
        <v>31837086000135</v>
      </c>
      <c r="D204">
        <v>19</v>
      </c>
      <c r="E204" t="s">
        <v>1590</v>
      </c>
      <c r="F204">
        <v>19</v>
      </c>
      <c r="G204" t="s">
        <v>1627</v>
      </c>
      <c r="H204" t="str">
        <f t="shared" si="3"/>
        <v>REDE 19 - BANDEIRA 19 - LOJA 203</v>
      </c>
      <c r="I204">
        <v>1</v>
      </c>
      <c r="J204" t="s">
        <v>26</v>
      </c>
      <c r="K204">
        <v>2</v>
      </c>
      <c r="L204" t="s">
        <v>533</v>
      </c>
      <c r="M204">
        <v>6</v>
      </c>
      <c r="N204" t="s">
        <v>236</v>
      </c>
      <c r="O204">
        <v>5</v>
      </c>
      <c r="P204" t="s">
        <v>237</v>
      </c>
      <c r="Q204" t="s">
        <v>238</v>
      </c>
      <c r="R204">
        <v>4</v>
      </c>
      <c r="S204" t="s">
        <v>239</v>
      </c>
      <c r="T204" t="s">
        <v>534</v>
      </c>
      <c r="U204" s="1">
        <v>-37344368</v>
      </c>
      <c r="V204" s="1">
        <v>-385596655</v>
      </c>
      <c r="W204" t="s">
        <v>535</v>
      </c>
      <c r="X204">
        <v>1</v>
      </c>
      <c r="Y204" t="s">
        <v>34</v>
      </c>
    </row>
    <row r="205" spans="1:25" x14ac:dyDescent="0.3">
      <c r="A205">
        <v>204</v>
      </c>
      <c r="B205">
        <v>204</v>
      </c>
      <c r="C205">
        <v>38340086000174</v>
      </c>
      <c r="D205">
        <v>19</v>
      </c>
      <c r="E205" t="s">
        <v>1590</v>
      </c>
      <c r="F205">
        <v>19</v>
      </c>
      <c r="G205" t="s">
        <v>1627</v>
      </c>
      <c r="H205" t="str">
        <f t="shared" si="3"/>
        <v>REDE 19 - BANDEIRA 19 - LOJA 204</v>
      </c>
      <c r="I205">
        <v>1</v>
      </c>
      <c r="J205" t="s">
        <v>26</v>
      </c>
      <c r="K205">
        <v>2</v>
      </c>
      <c r="L205" t="s">
        <v>536</v>
      </c>
      <c r="M205">
        <v>6</v>
      </c>
      <c r="N205" t="s">
        <v>236</v>
      </c>
      <c r="O205">
        <v>5</v>
      </c>
      <c r="P205" t="s">
        <v>237</v>
      </c>
      <c r="Q205" t="s">
        <v>238</v>
      </c>
      <c r="R205">
        <v>4</v>
      </c>
      <c r="S205" t="s">
        <v>239</v>
      </c>
      <c r="T205" t="s">
        <v>537</v>
      </c>
      <c r="U205" s="1">
        <v>-37360992</v>
      </c>
      <c r="V205" s="1">
        <v>-384875178</v>
      </c>
      <c r="W205" t="s">
        <v>538</v>
      </c>
      <c r="X205">
        <v>1</v>
      </c>
      <c r="Y205" t="s">
        <v>34</v>
      </c>
    </row>
    <row r="206" spans="1:25" x14ac:dyDescent="0.3">
      <c r="A206">
        <v>205</v>
      </c>
      <c r="B206">
        <v>205</v>
      </c>
      <c r="C206">
        <v>44917688000144</v>
      </c>
      <c r="D206">
        <v>19</v>
      </c>
      <c r="E206" t="s">
        <v>1590</v>
      </c>
      <c r="F206">
        <v>19</v>
      </c>
      <c r="G206" t="s">
        <v>1627</v>
      </c>
      <c r="H206" t="str">
        <f t="shared" si="3"/>
        <v>REDE 19 - BANDEIRA 19 - LOJA 205</v>
      </c>
      <c r="I206">
        <v>1</v>
      </c>
      <c r="J206" t="s">
        <v>26</v>
      </c>
      <c r="K206">
        <v>1</v>
      </c>
      <c r="L206" t="s">
        <v>539</v>
      </c>
      <c r="M206">
        <v>2</v>
      </c>
      <c r="N206" t="s">
        <v>36</v>
      </c>
      <c r="O206">
        <v>2</v>
      </c>
      <c r="P206" t="s">
        <v>37</v>
      </c>
      <c r="Q206" t="s">
        <v>38</v>
      </c>
      <c r="R206">
        <v>2</v>
      </c>
      <c r="S206" t="s">
        <v>39</v>
      </c>
      <c r="T206" t="s">
        <v>440</v>
      </c>
      <c r="U206" s="1">
        <v>-234999415</v>
      </c>
      <c r="V206" s="1">
        <v>-466379408</v>
      </c>
      <c r="W206" t="s">
        <v>540</v>
      </c>
      <c r="X206">
        <v>1</v>
      </c>
      <c r="Y206" t="s">
        <v>34</v>
      </c>
    </row>
    <row r="207" spans="1:25" x14ac:dyDescent="0.3">
      <c r="A207">
        <v>206</v>
      </c>
      <c r="B207">
        <v>206</v>
      </c>
      <c r="C207">
        <v>42311146000106</v>
      </c>
      <c r="D207">
        <v>19</v>
      </c>
      <c r="E207" t="s">
        <v>1590</v>
      </c>
      <c r="F207">
        <v>19</v>
      </c>
      <c r="G207" t="s">
        <v>1627</v>
      </c>
      <c r="H207" t="str">
        <f t="shared" si="3"/>
        <v>REDE 19 - BANDEIRA 19 - LOJA 206</v>
      </c>
      <c r="I207">
        <v>1</v>
      </c>
      <c r="J207" t="s">
        <v>26</v>
      </c>
      <c r="K207">
        <v>2</v>
      </c>
      <c r="L207" t="s">
        <v>541</v>
      </c>
      <c r="M207">
        <v>1</v>
      </c>
      <c r="N207" t="s">
        <v>28</v>
      </c>
      <c r="O207">
        <v>1</v>
      </c>
      <c r="P207" t="s">
        <v>29</v>
      </c>
      <c r="Q207" t="s">
        <v>30</v>
      </c>
      <c r="R207">
        <v>1</v>
      </c>
      <c r="S207" t="s">
        <v>31</v>
      </c>
      <c r="T207" t="s">
        <v>542</v>
      </c>
      <c r="U207" s="1">
        <v>-254121747</v>
      </c>
      <c r="V207" s="1">
        <v>-492581026</v>
      </c>
      <c r="W207" t="s">
        <v>543</v>
      </c>
      <c r="X207">
        <v>1</v>
      </c>
      <c r="Y207" t="s">
        <v>34</v>
      </c>
    </row>
    <row r="208" spans="1:25" x14ac:dyDescent="0.3">
      <c r="A208">
        <v>207</v>
      </c>
      <c r="B208">
        <v>207</v>
      </c>
      <c r="C208">
        <v>24653373000120</v>
      </c>
      <c r="D208">
        <v>19</v>
      </c>
      <c r="E208" t="s">
        <v>1590</v>
      </c>
      <c r="F208">
        <v>19</v>
      </c>
      <c r="G208" t="s">
        <v>1627</v>
      </c>
      <c r="H208" t="str">
        <f t="shared" si="3"/>
        <v>REDE 19 - BANDEIRA 19 - LOJA 207</v>
      </c>
      <c r="I208">
        <v>1</v>
      </c>
      <c r="J208" t="s">
        <v>26</v>
      </c>
      <c r="K208">
        <v>2</v>
      </c>
      <c r="L208" t="s">
        <v>544</v>
      </c>
      <c r="M208">
        <v>6</v>
      </c>
      <c r="N208" t="s">
        <v>236</v>
      </c>
      <c r="O208">
        <v>5</v>
      </c>
      <c r="P208" t="s">
        <v>237</v>
      </c>
      <c r="Q208" t="s">
        <v>238</v>
      </c>
      <c r="R208">
        <v>4</v>
      </c>
      <c r="S208" t="s">
        <v>239</v>
      </c>
      <c r="T208" t="s">
        <v>545</v>
      </c>
      <c r="U208" s="1">
        <v>-37336771</v>
      </c>
      <c r="V208" s="1">
        <v>-385082726</v>
      </c>
      <c r="W208" t="s">
        <v>302</v>
      </c>
      <c r="X208">
        <v>1</v>
      </c>
      <c r="Y208" t="s">
        <v>34</v>
      </c>
    </row>
    <row r="209" spans="1:25" x14ac:dyDescent="0.3">
      <c r="A209">
        <v>208</v>
      </c>
      <c r="B209">
        <v>208</v>
      </c>
      <c r="C209">
        <v>28824236000161</v>
      </c>
      <c r="D209">
        <v>19</v>
      </c>
      <c r="E209" t="s">
        <v>1590</v>
      </c>
      <c r="F209">
        <v>19</v>
      </c>
      <c r="G209" t="s">
        <v>1627</v>
      </c>
      <c r="H209" t="str">
        <f t="shared" si="3"/>
        <v>REDE 19 - BANDEIRA 19 - LOJA 208</v>
      </c>
      <c r="I209">
        <v>1</v>
      </c>
      <c r="J209" t="s">
        <v>26</v>
      </c>
      <c r="K209">
        <v>2</v>
      </c>
      <c r="L209" t="s">
        <v>546</v>
      </c>
      <c r="M209">
        <v>4</v>
      </c>
      <c r="N209" t="s">
        <v>60</v>
      </c>
      <c r="O209">
        <v>4</v>
      </c>
      <c r="P209" t="s">
        <v>61</v>
      </c>
      <c r="Q209" t="s">
        <v>62</v>
      </c>
      <c r="R209">
        <v>3</v>
      </c>
      <c r="S209" t="s">
        <v>63</v>
      </c>
      <c r="T209" t="s">
        <v>547</v>
      </c>
      <c r="U209" s="1">
        <v>-158110928</v>
      </c>
      <c r="V209" s="1">
        <v>-478525474</v>
      </c>
      <c r="W209" t="s">
        <v>83</v>
      </c>
      <c r="X209">
        <v>1</v>
      </c>
      <c r="Y209" t="s">
        <v>34</v>
      </c>
    </row>
    <row r="210" spans="1:25" x14ac:dyDescent="0.3">
      <c r="A210">
        <v>209</v>
      </c>
      <c r="B210">
        <v>209</v>
      </c>
      <c r="C210">
        <v>37679384000120</v>
      </c>
      <c r="D210">
        <v>19</v>
      </c>
      <c r="E210" t="s">
        <v>1590</v>
      </c>
      <c r="F210">
        <v>19</v>
      </c>
      <c r="G210" t="s">
        <v>1627</v>
      </c>
      <c r="H210" t="str">
        <f t="shared" si="3"/>
        <v>REDE 19 - BANDEIRA 19 - LOJA 209</v>
      </c>
      <c r="I210">
        <v>1</v>
      </c>
      <c r="J210" t="s">
        <v>26</v>
      </c>
      <c r="K210">
        <v>1</v>
      </c>
      <c r="L210" t="s">
        <v>548</v>
      </c>
      <c r="M210">
        <v>4</v>
      </c>
      <c r="N210" t="s">
        <v>60</v>
      </c>
      <c r="O210">
        <v>4</v>
      </c>
      <c r="P210" t="s">
        <v>61</v>
      </c>
      <c r="Q210" t="s">
        <v>62</v>
      </c>
      <c r="R210">
        <v>3</v>
      </c>
      <c r="S210" t="s">
        <v>63</v>
      </c>
      <c r="T210" t="s">
        <v>549</v>
      </c>
      <c r="U210" s="1">
        <v>-157946664</v>
      </c>
      <c r="V210" s="1">
        <v>-478494492</v>
      </c>
      <c r="W210" t="s">
        <v>550</v>
      </c>
      <c r="X210">
        <v>1</v>
      </c>
      <c r="Y210" t="s">
        <v>34</v>
      </c>
    </row>
    <row r="211" spans="1:25" x14ac:dyDescent="0.3">
      <c r="A211">
        <v>210</v>
      </c>
      <c r="B211">
        <v>210</v>
      </c>
      <c r="C211">
        <v>45839749000165</v>
      </c>
      <c r="D211">
        <v>19</v>
      </c>
      <c r="E211" t="s">
        <v>1590</v>
      </c>
      <c r="F211">
        <v>19</v>
      </c>
      <c r="G211" t="s">
        <v>1627</v>
      </c>
      <c r="H211" t="str">
        <f t="shared" si="3"/>
        <v>REDE 19 - BANDEIRA 19 - LOJA 210</v>
      </c>
      <c r="I211">
        <v>1</v>
      </c>
      <c r="J211" t="s">
        <v>26</v>
      </c>
      <c r="K211">
        <v>2</v>
      </c>
      <c r="L211" t="s">
        <v>551</v>
      </c>
      <c r="M211">
        <v>2</v>
      </c>
      <c r="N211" t="s">
        <v>36</v>
      </c>
      <c r="O211">
        <v>2</v>
      </c>
      <c r="P211" t="s">
        <v>37</v>
      </c>
      <c r="Q211" t="s">
        <v>38</v>
      </c>
      <c r="R211">
        <v>2</v>
      </c>
      <c r="S211" t="s">
        <v>39</v>
      </c>
      <c r="T211" t="s">
        <v>552</v>
      </c>
      <c r="U211" s="1">
        <v>-236451528</v>
      </c>
      <c r="V211" s="1">
        <v>-46723411</v>
      </c>
      <c r="W211" t="s">
        <v>553</v>
      </c>
      <c r="X211">
        <v>0</v>
      </c>
      <c r="Y211" t="s">
        <v>46</v>
      </c>
    </row>
    <row r="212" spans="1:25" x14ac:dyDescent="0.3">
      <c r="A212">
        <v>211</v>
      </c>
      <c r="B212">
        <v>211</v>
      </c>
      <c r="C212">
        <v>15691779000106</v>
      </c>
      <c r="D212">
        <v>19</v>
      </c>
      <c r="E212" t="s">
        <v>1590</v>
      </c>
      <c r="F212">
        <v>19</v>
      </c>
      <c r="G212" t="s">
        <v>1627</v>
      </c>
      <c r="H212" t="str">
        <f t="shared" si="3"/>
        <v>REDE 19 - BANDEIRA 19 - LOJA 211</v>
      </c>
      <c r="I212">
        <v>1</v>
      </c>
      <c r="J212" t="s">
        <v>26</v>
      </c>
      <c r="K212">
        <v>2</v>
      </c>
      <c r="L212" t="s">
        <v>554</v>
      </c>
      <c r="M212">
        <v>2</v>
      </c>
      <c r="N212" t="s">
        <v>36</v>
      </c>
      <c r="O212">
        <v>2</v>
      </c>
      <c r="P212" t="s">
        <v>37</v>
      </c>
      <c r="Q212" t="s">
        <v>38</v>
      </c>
      <c r="R212">
        <v>2</v>
      </c>
      <c r="S212" t="s">
        <v>39</v>
      </c>
      <c r="T212" t="s">
        <v>555</v>
      </c>
      <c r="U212" s="1">
        <v>-234966218</v>
      </c>
      <c r="V212" s="1">
        <v>-467458284999999</v>
      </c>
      <c r="W212" t="s">
        <v>556</v>
      </c>
      <c r="X212">
        <v>1</v>
      </c>
      <c r="Y212" t="s">
        <v>34</v>
      </c>
    </row>
    <row r="213" spans="1:25" x14ac:dyDescent="0.3">
      <c r="A213">
        <v>212</v>
      </c>
      <c r="B213">
        <v>212</v>
      </c>
      <c r="C213">
        <v>44361882000196</v>
      </c>
      <c r="D213">
        <v>19</v>
      </c>
      <c r="E213" t="s">
        <v>1590</v>
      </c>
      <c r="F213">
        <v>19</v>
      </c>
      <c r="G213" t="s">
        <v>1627</v>
      </c>
      <c r="H213" t="str">
        <f t="shared" si="3"/>
        <v>REDE 19 - BANDEIRA 19 - LOJA 212</v>
      </c>
      <c r="I213">
        <v>1</v>
      </c>
      <c r="J213" t="s">
        <v>26</v>
      </c>
      <c r="K213">
        <v>2</v>
      </c>
      <c r="L213" t="s">
        <v>557</v>
      </c>
      <c r="M213">
        <v>2</v>
      </c>
      <c r="N213" t="s">
        <v>36</v>
      </c>
      <c r="O213">
        <v>2</v>
      </c>
      <c r="P213" t="s">
        <v>37</v>
      </c>
      <c r="Q213" t="s">
        <v>38</v>
      </c>
      <c r="R213">
        <v>2</v>
      </c>
      <c r="S213" t="s">
        <v>39</v>
      </c>
      <c r="T213" t="s">
        <v>558</v>
      </c>
      <c r="U213" s="1">
        <v>-235429317</v>
      </c>
      <c r="V213" s="1">
        <v>-46626666</v>
      </c>
      <c r="W213" t="s">
        <v>559</v>
      </c>
      <c r="X213">
        <v>1</v>
      </c>
      <c r="Y213" t="s">
        <v>34</v>
      </c>
    </row>
    <row r="214" spans="1:25" x14ac:dyDescent="0.3">
      <c r="A214">
        <v>213</v>
      </c>
      <c r="B214">
        <v>213</v>
      </c>
      <c r="C214">
        <v>36026773000194</v>
      </c>
      <c r="D214">
        <v>19</v>
      </c>
      <c r="E214" t="s">
        <v>1590</v>
      </c>
      <c r="F214">
        <v>19</v>
      </c>
      <c r="G214" t="s">
        <v>1627</v>
      </c>
      <c r="H214" t="str">
        <f t="shared" si="3"/>
        <v>REDE 19 - BANDEIRA 19 - LOJA 213</v>
      </c>
      <c r="I214">
        <v>1</v>
      </c>
      <c r="J214" t="s">
        <v>26</v>
      </c>
      <c r="K214">
        <v>2</v>
      </c>
      <c r="L214" t="s">
        <v>560</v>
      </c>
      <c r="M214">
        <v>1</v>
      </c>
      <c r="N214" t="s">
        <v>28</v>
      </c>
      <c r="O214">
        <v>1</v>
      </c>
      <c r="P214" t="s">
        <v>29</v>
      </c>
      <c r="Q214" t="s">
        <v>30</v>
      </c>
      <c r="R214">
        <v>1</v>
      </c>
      <c r="S214" t="s">
        <v>31</v>
      </c>
      <c r="T214" t="s">
        <v>561</v>
      </c>
      <c r="U214" s="1">
        <v>-25488859</v>
      </c>
      <c r="V214" s="1">
        <v>-492377226</v>
      </c>
      <c r="W214" t="s">
        <v>49</v>
      </c>
      <c r="X214">
        <v>1</v>
      </c>
      <c r="Y214" t="s">
        <v>34</v>
      </c>
    </row>
    <row r="215" spans="1:25" x14ac:dyDescent="0.3">
      <c r="A215">
        <v>214</v>
      </c>
      <c r="B215">
        <v>214</v>
      </c>
      <c r="C215">
        <v>4894185000186</v>
      </c>
      <c r="D215">
        <v>19</v>
      </c>
      <c r="E215" t="s">
        <v>1590</v>
      </c>
      <c r="F215">
        <v>19</v>
      </c>
      <c r="G215" t="s">
        <v>1627</v>
      </c>
      <c r="H215" t="str">
        <f t="shared" si="3"/>
        <v>REDE 19 - BANDEIRA 19 - LOJA 214</v>
      </c>
      <c r="I215">
        <v>1</v>
      </c>
      <c r="J215" t="s">
        <v>26</v>
      </c>
      <c r="K215">
        <v>2</v>
      </c>
      <c r="L215" t="s">
        <v>562</v>
      </c>
      <c r="M215">
        <v>1</v>
      </c>
      <c r="N215" t="s">
        <v>28</v>
      </c>
      <c r="O215">
        <v>1</v>
      </c>
      <c r="P215" t="s">
        <v>29</v>
      </c>
      <c r="Q215" t="s">
        <v>30</v>
      </c>
      <c r="R215">
        <v>1</v>
      </c>
      <c r="S215" t="s">
        <v>31</v>
      </c>
      <c r="T215" t="s">
        <v>563</v>
      </c>
      <c r="U215" s="1">
        <v>-254538032</v>
      </c>
      <c r="V215" s="1">
        <v>-492759648</v>
      </c>
      <c r="W215" t="s">
        <v>33</v>
      </c>
      <c r="X215">
        <v>1</v>
      </c>
      <c r="Y215" t="s">
        <v>34</v>
      </c>
    </row>
    <row r="216" spans="1:25" x14ac:dyDescent="0.3">
      <c r="A216">
        <v>215</v>
      </c>
      <c r="B216">
        <v>215</v>
      </c>
      <c r="C216">
        <v>29301639000199</v>
      </c>
      <c r="D216">
        <v>19</v>
      </c>
      <c r="E216" t="s">
        <v>1590</v>
      </c>
      <c r="F216">
        <v>19</v>
      </c>
      <c r="G216" t="s">
        <v>1627</v>
      </c>
      <c r="H216" t="str">
        <f t="shared" si="3"/>
        <v>REDE 19 - BANDEIRA 19 - LOJA 215</v>
      </c>
      <c r="I216">
        <v>1</v>
      </c>
      <c r="J216" t="s">
        <v>26</v>
      </c>
      <c r="K216">
        <v>2</v>
      </c>
      <c r="L216" t="s">
        <v>564</v>
      </c>
      <c r="M216">
        <v>9</v>
      </c>
      <c r="N216" t="s">
        <v>565</v>
      </c>
      <c r="O216">
        <v>3</v>
      </c>
      <c r="P216" t="s">
        <v>44</v>
      </c>
      <c r="Q216" t="s">
        <v>43</v>
      </c>
      <c r="R216">
        <v>2</v>
      </c>
      <c r="S216" t="s">
        <v>39</v>
      </c>
      <c r="T216" t="s">
        <v>566</v>
      </c>
      <c r="U216" s="1">
        <v>-228109006</v>
      </c>
      <c r="V216" s="1">
        <v>-431950693</v>
      </c>
      <c r="W216" t="s">
        <v>567</v>
      </c>
      <c r="X216">
        <v>1</v>
      </c>
      <c r="Y216" t="s">
        <v>34</v>
      </c>
    </row>
    <row r="217" spans="1:25" x14ac:dyDescent="0.3">
      <c r="A217">
        <v>216</v>
      </c>
      <c r="B217">
        <v>216</v>
      </c>
      <c r="C217">
        <v>7986587000107</v>
      </c>
      <c r="D217">
        <v>19</v>
      </c>
      <c r="E217" t="s">
        <v>1590</v>
      </c>
      <c r="F217">
        <v>19</v>
      </c>
      <c r="G217" t="s">
        <v>1627</v>
      </c>
      <c r="H217" t="str">
        <f t="shared" si="3"/>
        <v>REDE 19 - BANDEIRA 19 - LOJA 216</v>
      </c>
      <c r="I217">
        <v>1</v>
      </c>
      <c r="J217" t="s">
        <v>26</v>
      </c>
      <c r="K217">
        <v>1</v>
      </c>
      <c r="L217" t="s">
        <v>568</v>
      </c>
      <c r="M217">
        <v>1</v>
      </c>
      <c r="N217" t="s">
        <v>28</v>
      </c>
      <c r="O217">
        <v>1</v>
      </c>
      <c r="P217" t="s">
        <v>29</v>
      </c>
      <c r="Q217" t="s">
        <v>30</v>
      </c>
      <c r="R217">
        <v>1</v>
      </c>
      <c r="S217" t="s">
        <v>31</v>
      </c>
      <c r="T217" t="s">
        <v>569</v>
      </c>
      <c r="U217" s="1">
        <v>-25536038</v>
      </c>
      <c r="V217" s="1">
        <v>-492686787</v>
      </c>
      <c r="W217" t="s">
        <v>570</v>
      </c>
      <c r="X217">
        <v>1</v>
      </c>
      <c r="Y217" t="s">
        <v>34</v>
      </c>
    </row>
    <row r="218" spans="1:25" x14ac:dyDescent="0.3">
      <c r="A218">
        <v>217</v>
      </c>
      <c r="B218">
        <v>217</v>
      </c>
      <c r="C218">
        <v>12977678000108</v>
      </c>
      <c r="D218">
        <v>19</v>
      </c>
      <c r="E218" t="s">
        <v>1590</v>
      </c>
      <c r="F218">
        <v>19</v>
      </c>
      <c r="G218" t="s">
        <v>1627</v>
      </c>
      <c r="H218" t="str">
        <f t="shared" si="3"/>
        <v>REDE 19 - BANDEIRA 19 - LOJA 217</v>
      </c>
      <c r="I218">
        <v>1</v>
      </c>
      <c r="J218" t="s">
        <v>26</v>
      </c>
      <c r="K218">
        <v>2</v>
      </c>
      <c r="L218" t="s">
        <v>571</v>
      </c>
      <c r="M218">
        <v>1</v>
      </c>
      <c r="N218" t="s">
        <v>28</v>
      </c>
      <c r="O218">
        <v>1</v>
      </c>
      <c r="P218" t="s">
        <v>29</v>
      </c>
      <c r="Q218" t="s">
        <v>30</v>
      </c>
      <c r="R218">
        <v>1</v>
      </c>
      <c r="S218" t="s">
        <v>31</v>
      </c>
      <c r="T218" t="s">
        <v>572</v>
      </c>
      <c r="U218" s="1">
        <v>-254801766</v>
      </c>
      <c r="V218" s="1">
        <v>-492849926</v>
      </c>
      <c r="W218" t="s">
        <v>232</v>
      </c>
      <c r="X218">
        <v>1</v>
      </c>
      <c r="Y218" t="s">
        <v>34</v>
      </c>
    </row>
    <row r="219" spans="1:25" x14ac:dyDescent="0.3">
      <c r="A219">
        <v>218</v>
      </c>
      <c r="B219">
        <v>218</v>
      </c>
      <c r="C219">
        <v>33972714000110</v>
      </c>
      <c r="D219">
        <v>19</v>
      </c>
      <c r="E219" t="s">
        <v>1590</v>
      </c>
      <c r="F219">
        <v>19</v>
      </c>
      <c r="G219" t="s">
        <v>1627</v>
      </c>
      <c r="H219" t="str">
        <f t="shared" si="3"/>
        <v>REDE 19 - BANDEIRA 19 - LOJA 218</v>
      </c>
      <c r="I219">
        <v>1</v>
      </c>
      <c r="J219" t="s">
        <v>26</v>
      </c>
      <c r="K219">
        <v>1</v>
      </c>
      <c r="L219" t="s">
        <v>573</v>
      </c>
      <c r="M219">
        <v>3</v>
      </c>
      <c r="N219" t="s">
        <v>43</v>
      </c>
      <c r="O219">
        <v>3</v>
      </c>
      <c r="P219" t="s">
        <v>44</v>
      </c>
      <c r="Q219" t="s">
        <v>43</v>
      </c>
      <c r="R219">
        <v>2</v>
      </c>
      <c r="S219" t="s">
        <v>39</v>
      </c>
      <c r="T219" t="s">
        <v>574</v>
      </c>
      <c r="U219" s="1">
        <v>-229187148</v>
      </c>
      <c r="V219" s="1">
        <v>-433609543</v>
      </c>
      <c r="W219" t="s">
        <v>575</v>
      </c>
      <c r="X219">
        <v>1</v>
      </c>
      <c r="Y219" t="s">
        <v>34</v>
      </c>
    </row>
    <row r="220" spans="1:25" x14ac:dyDescent="0.3">
      <c r="A220">
        <v>219</v>
      </c>
      <c r="B220">
        <v>219</v>
      </c>
      <c r="C220">
        <v>28931474000176</v>
      </c>
      <c r="D220">
        <v>19</v>
      </c>
      <c r="E220" t="s">
        <v>1590</v>
      </c>
      <c r="F220">
        <v>19</v>
      </c>
      <c r="G220" t="s">
        <v>1627</v>
      </c>
      <c r="H220" t="str">
        <f t="shared" si="3"/>
        <v>REDE 19 - BANDEIRA 19 - LOJA 219</v>
      </c>
      <c r="I220">
        <v>1</v>
      </c>
      <c r="J220" t="s">
        <v>26</v>
      </c>
      <c r="K220">
        <v>1</v>
      </c>
      <c r="L220" t="s">
        <v>576</v>
      </c>
      <c r="M220">
        <v>1</v>
      </c>
      <c r="N220" t="s">
        <v>28</v>
      </c>
      <c r="O220">
        <v>1</v>
      </c>
      <c r="P220" t="s">
        <v>29</v>
      </c>
      <c r="Q220" t="s">
        <v>30</v>
      </c>
      <c r="R220">
        <v>1</v>
      </c>
      <c r="S220" t="s">
        <v>31</v>
      </c>
      <c r="T220" t="s">
        <v>577</v>
      </c>
      <c r="U220" s="1">
        <v>-25523483</v>
      </c>
      <c r="V220" s="1">
        <v>-492451038</v>
      </c>
      <c r="W220" t="s">
        <v>578</v>
      </c>
      <c r="X220">
        <v>1</v>
      </c>
      <c r="Y220" t="s">
        <v>34</v>
      </c>
    </row>
    <row r="221" spans="1:25" x14ac:dyDescent="0.3">
      <c r="A221">
        <v>220</v>
      </c>
      <c r="B221">
        <v>220</v>
      </c>
      <c r="C221">
        <v>29792708000104</v>
      </c>
      <c r="D221">
        <v>19</v>
      </c>
      <c r="E221" t="s">
        <v>1590</v>
      </c>
      <c r="F221">
        <v>19</v>
      </c>
      <c r="G221" t="s">
        <v>1627</v>
      </c>
      <c r="H221" t="str">
        <f t="shared" si="3"/>
        <v>REDE 19 - BANDEIRA 19 - LOJA 220</v>
      </c>
      <c r="I221">
        <v>1</v>
      </c>
      <c r="J221" t="s">
        <v>26</v>
      </c>
      <c r="K221">
        <v>2</v>
      </c>
      <c r="L221" t="s">
        <v>579</v>
      </c>
      <c r="M221">
        <v>1</v>
      </c>
      <c r="N221" t="s">
        <v>28</v>
      </c>
      <c r="O221">
        <v>1</v>
      </c>
      <c r="P221" t="s">
        <v>29</v>
      </c>
      <c r="Q221" t="s">
        <v>30</v>
      </c>
      <c r="R221">
        <v>1</v>
      </c>
      <c r="S221" t="s">
        <v>31</v>
      </c>
      <c r="T221" t="s">
        <v>580</v>
      </c>
      <c r="U221" s="1">
        <v>-253951984</v>
      </c>
      <c r="V221" s="1">
        <v>-492563061</v>
      </c>
      <c r="W221" t="s">
        <v>258</v>
      </c>
      <c r="X221">
        <v>1</v>
      </c>
      <c r="Y221" t="s">
        <v>34</v>
      </c>
    </row>
    <row r="222" spans="1:25" x14ac:dyDescent="0.3">
      <c r="A222">
        <v>221</v>
      </c>
      <c r="B222">
        <v>221</v>
      </c>
      <c r="C222">
        <v>39745628000151</v>
      </c>
      <c r="D222">
        <v>19</v>
      </c>
      <c r="E222" t="s">
        <v>1590</v>
      </c>
      <c r="F222">
        <v>19</v>
      </c>
      <c r="G222" t="s">
        <v>1627</v>
      </c>
      <c r="H222" t="str">
        <f t="shared" si="3"/>
        <v>REDE 19 - BANDEIRA 19 - LOJA 221</v>
      </c>
      <c r="I222">
        <v>1</v>
      </c>
      <c r="J222" t="s">
        <v>26</v>
      </c>
      <c r="K222">
        <v>2</v>
      </c>
      <c r="L222" t="s">
        <v>581</v>
      </c>
      <c r="M222">
        <v>1</v>
      </c>
      <c r="N222" t="s">
        <v>28</v>
      </c>
      <c r="O222">
        <v>1</v>
      </c>
      <c r="P222" t="s">
        <v>29</v>
      </c>
      <c r="Q222" t="s">
        <v>30</v>
      </c>
      <c r="R222">
        <v>1</v>
      </c>
      <c r="S222" t="s">
        <v>31</v>
      </c>
      <c r="T222" t="s">
        <v>582</v>
      </c>
      <c r="U222" s="1">
        <v>-255183059</v>
      </c>
      <c r="V222" s="1">
        <v>-492317372</v>
      </c>
      <c r="W222" t="s">
        <v>578</v>
      </c>
      <c r="X222">
        <v>1</v>
      </c>
      <c r="Y222" t="s">
        <v>34</v>
      </c>
    </row>
    <row r="223" spans="1:25" x14ac:dyDescent="0.3">
      <c r="A223">
        <v>222</v>
      </c>
      <c r="B223">
        <v>222</v>
      </c>
      <c r="C223">
        <v>41853400000127</v>
      </c>
      <c r="D223">
        <v>19</v>
      </c>
      <c r="E223" t="s">
        <v>1590</v>
      </c>
      <c r="F223">
        <v>19</v>
      </c>
      <c r="G223" t="s">
        <v>1627</v>
      </c>
      <c r="H223" t="str">
        <f t="shared" si="3"/>
        <v>REDE 19 - BANDEIRA 19 - LOJA 222</v>
      </c>
      <c r="I223">
        <v>1</v>
      </c>
      <c r="J223" t="s">
        <v>26</v>
      </c>
      <c r="K223">
        <v>1</v>
      </c>
      <c r="L223" t="s">
        <v>583</v>
      </c>
      <c r="M223">
        <v>1</v>
      </c>
      <c r="N223" t="s">
        <v>28</v>
      </c>
      <c r="O223">
        <v>1</v>
      </c>
      <c r="P223" t="s">
        <v>29</v>
      </c>
      <c r="Q223" t="s">
        <v>30</v>
      </c>
      <c r="R223">
        <v>1</v>
      </c>
      <c r="S223" t="s">
        <v>31</v>
      </c>
      <c r="T223" t="s">
        <v>234</v>
      </c>
      <c r="U223" s="1">
        <v>-254560127</v>
      </c>
      <c r="V223" s="1">
        <v>-492882367</v>
      </c>
      <c r="W223" t="s">
        <v>33</v>
      </c>
      <c r="X223">
        <v>1</v>
      </c>
      <c r="Y223" t="s">
        <v>34</v>
      </c>
    </row>
    <row r="224" spans="1:25" x14ac:dyDescent="0.3">
      <c r="A224">
        <v>223</v>
      </c>
      <c r="B224">
        <v>223</v>
      </c>
      <c r="C224">
        <v>6282930000323</v>
      </c>
      <c r="D224">
        <v>19</v>
      </c>
      <c r="E224" t="s">
        <v>1590</v>
      </c>
      <c r="F224">
        <v>19</v>
      </c>
      <c r="G224" t="s">
        <v>1627</v>
      </c>
      <c r="H224" t="str">
        <f t="shared" si="3"/>
        <v>REDE 19 - BANDEIRA 19 - LOJA 223</v>
      </c>
      <c r="I224">
        <v>1</v>
      </c>
      <c r="J224" t="s">
        <v>26</v>
      </c>
      <c r="K224">
        <v>1</v>
      </c>
      <c r="L224" t="s">
        <v>584</v>
      </c>
      <c r="M224">
        <v>2</v>
      </c>
      <c r="N224" t="s">
        <v>36</v>
      </c>
      <c r="O224">
        <v>2</v>
      </c>
      <c r="P224" t="s">
        <v>37</v>
      </c>
      <c r="Q224" t="s">
        <v>38</v>
      </c>
      <c r="R224">
        <v>2</v>
      </c>
      <c r="S224" t="s">
        <v>39</v>
      </c>
      <c r="T224" t="s">
        <v>558</v>
      </c>
      <c r="U224" s="1">
        <v>-235436943</v>
      </c>
      <c r="V224" s="1">
        <v>-466264599</v>
      </c>
      <c r="W224" t="s">
        <v>559</v>
      </c>
      <c r="X224">
        <v>1</v>
      </c>
      <c r="Y224" t="s">
        <v>34</v>
      </c>
    </row>
    <row r="225" spans="1:25" x14ac:dyDescent="0.3">
      <c r="A225">
        <v>224</v>
      </c>
      <c r="B225">
        <v>224</v>
      </c>
      <c r="C225">
        <v>10406459000143</v>
      </c>
      <c r="D225">
        <v>19</v>
      </c>
      <c r="E225" t="s">
        <v>1590</v>
      </c>
      <c r="F225">
        <v>19</v>
      </c>
      <c r="G225" t="s">
        <v>1627</v>
      </c>
      <c r="H225" t="str">
        <f t="shared" si="3"/>
        <v>REDE 19 - BANDEIRA 19 - LOJA 224</v>
      </c>
      <c r="I225">
        <v>1</v>
      </c>
      <c r="J225" t="s">
        <v>26</v>
      </c>
      <c r="K225">
        <v>1</v>
      </c>
      <c r="L225" t="s">
        <v>585</v>
      </c>
      <c r="M225">
        <v>1</v>
      </c>
      <c r="N225" t="s">
        <v>28</v>
      </c>
      <c r="O225">
        <v>1</v>
      </c>
      <c r="P225" t="s">
        <v>29</v>
      </c>
      <c r="Q225" t="s">
        <v>30</v>
      </c>
      <c r="R225">
        <v>1</v>
      </c>
      <c r="S225" t="s">
        <v>31</v>
      </c>
      <c r="T225" t="s">
        <v>586</v>
      </c>
      <c r="U225" s="1">
        <v>-254557011</v>
      </c>
      <c r="V225" s="1">
        <v>-492779845</v>
      </c>
      <c r="W225" t="s">
        <v>33</v>
      </c>
      <c r="X225">
        <v>1</v>
      </c>
      <c r="Y225" t="s">
        <v>34</v>
      </c>
    </row>
    <row r="226" spans="1:25" x14ac:dyDescent="0.3">
      <c r="A226">
        <v>225</v>
      </c>
      <c r="B226">
        <v>225</v>
      </c>
      <c r="C226">
        <v>26177221000123</v>
      </c>
      <c r="D226">
        <v>19</v>
      </c>
      <c r="E226" t="s">
        <v>1590</v>
      </c>
      <c r="F226">
        <v>19</v>
      </c>
      <c r="G226" t="s">
        <v>1627</v>
      </c>
      <c r="H226" t="str">
        <f t="shared" si="3"/>
        <v>REDE 19 - BANDEIRA 19 - LOJA 225</v>
      </c>
      <c r="I226">
        <v>1</v>
      </c>
      <c r="J226" t="s">
        <v>26</v>
      </c>
      <c r="K226">
        <v>1</v>
      </c>
      <c r="L226" t="s">
        <v>587</v>
      </c>
      <c r="M226">
        <v>2</v>
      </c>
      <c r="N226" t="s">
        <v>36</v>
      </c>
      <c r="O226">
        <v>2</v>
      </c>
      <c r="P226" t="s">
        <v>37</v>
      </c>
      <c r="Q226" t="s">
        <v>38</v>
      </c>
      <c r="R226">
        <v>2</v>
      </c>
      <c r="S226" t="s">
        <v>39</v>
      </c>
      <c r="T226" t="s">
        <v>588</v>
      </c>
      <c r="U226" s="1">
        <v>-235929524</v>
      </c>
      <c r="V226" s="1">
        <v>-466833901</v>
      </c>
      <c r="W226" t="s">
        <v>157</v>
      </c>
      <c r="X226">
        <v>1</v>
      </c>
      <c r="Y226" t="s">
        <v>34</v>
      </c>
    </row>
    <row r="227" spans="1:25" x14ac:dyDescent="0.3">
      <c r="A227">
        <v>226</v>
      </c>
      <c r="B227">
        <v>226</v>
      </c>
      <c r="C227">
        <v>22396288000106</v>
      </c>
      <c r="D227">
        <v>19</v>
      </c>
      <c r="E227" t="s">
        <v>1590</v>
      </c>
      <c r="F227">
        <v>19</v>
      </c>
      <c r="G227" t="s">
        <v>1627</v>
      </c>
      <c r="H227" t="str">
        <f t="shared" si="3"/>
        <v>REDE 19 - BANDEIRA 19 - LOJA 226</v>
      </c>
      <c r="I227">
        <v>1</v>
      </c>
      <c r="J227" t="s">
        <v>26</v>
      </c>
      <c r="K227">
        <v>2</v>
      </c>
      <c r="L227" t="s">
        <v>589</v>
      </c>
      <c r="M227">
        <v>6</v>
      </c>
      <c r="N227" t="s">
        <v>236</v>
      </c>
      <c r="O227">
        <v>5</v>
      </c>
      <c r="P227" t="s">
        <v>237</v>
      </c>
      <c r="Q227" t="s">
        <v>238</v>
      </c>
      <c r="R227">
        <v>4</v>
      </c>
      <c r="S227" t="s">
        <v>239</v>
      </c>
      <c r="T227" t="s">
        <v>590</v>
      </c>
      <c r="U227" s="1">
        <v>-37316079</v>
      </c>
      <c r="V227" s="1">
        <v>-385307435</v>
      </c>
      <c r="W227" t="s">
        <v>221</v>
      </c>
      <c r="X227">
        <v>1</v>
      </c>
      <c r="Y227" t="s">
        <v>34</v>
      </c>
    </row>
    <row r="228" spans="1:25" x14ac:dyDescent="0.3">
      <c r="A228">
        <v>227</v>
      </c>
      <c r="B228">
        <v>227</v>
      </c>
      <c r="C228">
        <v>29980937000152</v>
      </c>
      <c r="D228">
        <v>19</v>
      </c>
      <c r="E228" t="s">
        <v>1590</v>
      </c>
      <c r="F228">
        <v>19</v>
      </c>
      <c r="G228" t="s">
        <v>1627</v>
      </c>
      <c r="H228" t="str">
        <f t="shared" si="3"/>
        <v>REDE 19 - BANDEIRA 19 - LOJA 227</v>
      </c>
      <c r="I228">
        <v>1</v>
      </c>
      <c r="J228" t="s">
        <v>26</v>
      </c>
      <c r="K228">
        <v>2</v>
      </c>
      <c r="L228" t="s">
        <v>591</v>
      </c>
      <c r="M228">
        <v>6</v>
      </c>
      <c r="N228" t="s">
        <v>236</v>
      </c>
      <c r="O228">
        <v>5</v>
      </c>
      <c r="P228" t="s">
        <v>237</v>
      </c>
      <c r="Q228" t="s">
        <v>238</v>
      </c>
      <c r="R228">
        <v>4</v>
      </c>
      <c r="S228" t="s">
        <v>239</v>
      </c>
      <c r="T228" t="s">
        <v>592</v>
      </c>
      <c r="U228" s="1">
        <v>-38002715</v>
      </c>
      <c r="V228" s="1">
        <v>-385878029</v>
      </c>
      <c r="W228" t="s">
        <v>593</v>
      </c>
      <c r="X228">
        <v>1</v>
      </c>
      <c r="Y228" t="s">
        <v>34</v>
      </c>
    </row>
    <row r="229" spans="1:25" x14ac:dyDescent="0.3">
      <c r="A229">
        <v>228</v>
      </c>
      <c r="B229">
        <v>228</v>
      </c>
      <c r="C229">
        <v>32689331000177</v>
      </c>
      <c r="D229">
        <v>19</v>
      </c>
      <c r="E229" t="s">
        <v>1590</v>
      </c>
      <c r="F229">
        <v>19</v>
      </c>
      <c r="G229" t="s">
        <v>1627</v>
      </c>
      <c r="H229" t="str">
        <f t="shared" si="3"/>
        <v>REDE 19 - BANDEIRA 19 - LOJA 228</v>
      </c>
      <c r="I229">
        <v>1</v>
      </c>
      <c r="J229" t="s">
        <v>26</v>
      </c>
      <c r="K229">
        <v>1</v>
      </c>
      <c r="L229" t="s">
        <v>594</v>
      </c>
      <c r="M229">
        <v>1</v>
      </c>
      <c r="N229" t="s">
        <v>28</v>
      </c>
      <c r="O229">
        <v>1</v>
      </c>
      <c r="P229" t="s">
        <v>29</v>
      </c>
      <c r="Q229" t="s">
        <v>30</v>
      </c>
      <c r="R229">
        <v>1</v>
      </c>
      <c r="S229" t="s">
        <v>31</v>
      </c>
      <c r="T229" t="s">
        <v>595</v>
      </c>
      <c r="U229" s="1">
        <v>-253929278</v>
      </c>
      <c r="V229" s="1">
        <v>-493345648</v>
      </c>
      <c r="W229" t="s">
        <v>596</v>
      </c>
      <c r="X229">
        <v>1</v>
      </c>
      <c r="Y229" t="s">
        <v>34</v>
      </c>
    </row>
    <row r="230" spans="1:25" x14ac:dyDescent="0.3">
      <c r="A230">
        <v>229</v>
      </c>
      <c r="B230">
        <v>229</v>
      </c>
      <c r="C230">
        <v>44277163000191</v>
      </c>
      <c r="D230">
        <v>19</v>
      </c>
      <c r="E230" t="s">
        <v>1590</v>
      </c>
      <c r="F230">
        <v>19</v>
      </c>
      <c r="G230" t="s">
        <v>1627</v>
      </c>
      <c r="H230" t="str">
        <f t="shared" si="3"/>
        <v>REDE 19 - BANDEIRA 19 - LOJA 229</v>
      </c>
      <c r="I230">
        <v>1</v>
      </c>
      <c r="J230" t="s">
        <v>26</v>
      </c>
      <c r="K230">
        <v>2</v>
      </c>
      <c r="L230" t="s">
        <v>597</v>
      </c>
      <c r="M230">
        <v>1</v>
      </c>
      <c r="N230" t="s">
        <v>28</v>
      </c>
      <c r="O230">
        <v>1</v>
      </c>
      <c r="P230" t="s">
        <v>29</v>
      </c>
      <c r="Q230" t="s">
        <v>30</v>
      </c>
      <c r="R230">
        <v>1</v>
      </c>
      <c r="S230" t="s">
        <v>31</v>
      </c>
      <c r="T230" t="s">
        <v>598</v>
      </c>
      <c r="U230" s="1">
        <v>-255149796</v>
      </c>
      <c r="V230" s="1">
        <v>-492570187</v>
      </c>
      <c r="W230" t="s">
        <v>599</v>
      </c>
      <c r="X230">
        <v>1</v>
      </c>
      <c r="Y230" t="s">
        <v>34</v>
      </c>
    </row>
    <row r="231" spans="1:25" x14ac:dyDescent="0.3">
      <c r="A231">
        <v>230</v>
      </c>
      <c r="B231">
        <v>230</v>
      </c>
      <c r="C231">
        <v>43309168000196</v>
      </c>
      <c r="D231">
        <v>19</v>
      </c>
      <c r="E231" t="s">
        <v>1590</v>
      </c>
      <c r="F231">
        <v>19</v>
      </c>
      <c r="G231" t="s">
        <v>1627</v>
      </c>
      <c r="H231" t="str">
        <f t="shared" si="3"/>
        <v>REDE 19 - BANDEIRA 19 - LOJA 230</v>
      </c>
      <c r="I231">
        <v>1</v>
      </c>
      <c r="J231" t="s">
        <v>26</v>
      </c>
      <c r="K231">
        <v>1</v>
      </c>
      <c r="L231" t="s">
        <v>600</v>
      </c>
      <c r="M231">
        <v>1</v>
      </c>
      <c r="N231" t="s">
        <v>28</v>
      </c>
      <c r="O231">
        <v>1</v>
      </c>
      <c r="P231" t="s">
        <v>29</v>
      </c>
      <c r="Q231" t="s">
        <v>30</v>
      </c>
      <c r="R231">
        <v>1</v>
      </c>
      <c r="S231" t="s">
        <v>31</v>
      </c>
      <c r="T231" t="s">
        <v>601</v>
      </c>
      <c r="U231" s="1">
        <v>-25403489</v>
      </c>
      <c r="V231" s="1">
        <v>-492712726</v>
      </c>
      <c r="W231" t="s">
        <v>602</v>
      </c>
      <c r="X231">
        <v>1</v>
      </c>
      <c r="Y231" t="s">
        <v>34</v>
      </c>
    </row>
    <row r="232" spans="1:25" x14ac:dyDescent="0.3">
      <c r="A232">
        <v>231</v>
      </c>
      <c r="B232">
        <v>231</v>
      </c>
      <c r="C232">
        <v>24673515000110</v>
      </c>
      <c r="D232">
        <v>19</v>
      </c>
      <c r="E232" t="s">
        <v>1590</v>
      </c>
      <c r="F232">
        <v>19</v>
      </c>
      <c r="G232" t="s">
        <v>1627</v>
      </c>
      <c r="H232" t="str">
        <f t="shared" si="3"/>
        <v>REDE 19 - BANDEIRA 19 - LOJA 231</v>
      </c>
      <c r="I232">
        <v>1</v>
      </c>
      <c r="J232" t="s">
        <v>26</v>
      </c>
      <c r="K232">
        <v>2</v>
      </c>
      <c r="L232" t="s">
        <v>603</v>
      </c>
      <c r="M232">
        <v>2</v>
      </c>
      <c r="N232" t="s">
        <v>36</v>
      </c>
      <c r="O232">
        <v>2</v>
      </c>
      <c r="P232" t="s">
        <v>37</v>
      </c>
      <c r="Q232" t="s">
        <v>38</v>
      </c>
      <c r="R232">
        <v>2</v>
      </c>
      <c r="S232" t="s">
        <v>39</v>
      </c>
      <c r="T232" t="s">
        <v>604</v>
      </c>
      <c r="U232" s="1">
        <v>-236094848</v>
      </c>
      <c r="V232" s="1">
        <v>-466377222</v>
      </c>
      <c r="W232" t="s">
        <v>605</v>
      </c>
      <c r="X232">
        <v>1</v>
      </c>
      <c r="Y232" t="s">
        <v>34</v>
      </c>
    </row>
    <row r="233" spans="1:25" x14ac:dyDescent="0.3">
      <c r="A233">
        <v>232</v>
      </c>
      <c r="B233">
        <v>232</v>
      </c>
      <c r="C233">
        <v>16983315000136</v>
      </c>
      <c r="D233">
        <v>19</v>
      </c>
      <c r="E233" t="s">
        <v>1590</v>
      </c>
      <c r="F233">
        <v>19</v>
      </c>
      <c r="G233" t="s">
        <v>1627</v>
      </c>
      <c r="H233" t="str">
        <f t="shared" si="3"/>
        <v>REDE 19 - BANDEIRA 19 - LOJA 232</v>
      </c>
      <c r="I233">
        <v>1</v>
      </c>
      <c r="J233" t="s">
        <v>26</v>
      </c>
      <c r="K233">
        <v>2</v>
      </c>
      <c r="L233" t="s">
        <v>606</v>
      </c>
      <c r="M233">
        <v>6</v>
      </c>
      <c r="N233" t="s">
        <v>236</v>
      </c>
      <c r="O233">
        <v>5</v>
      </c>
      <c r="P233" t="s">
        <v>237</v>
      </c>
      <c r="Q233" t="s">
        <v>238</v>
      </c>
      <c r="R233">
        <v>4</v>
      </c>
      <c r="S233" t="s">
        <v>239</v>
      </c>
      <c r="T233" t="s">
        <v>607</v>
      </c>
      <c r="U233" s="1">
        <v>-37611976</v>
      </c>
      <c r="V233" s="1">
        <v>-385354224</v>
      </c>
      <c r="W233" t="s">
        <v>608</v>
      </c>
      <c r="X233">
        <v>1</v>
      </c>
      <c r="Y233" t="s">
        <v>34</v>
      </c>
    </row>
    <row r="234" spans="1:25" x14ac:dyDescent="0.3">
      <c r="A234">
        <v>233</v>
      </c>
      <c r="B234">
        <v>233</v>
      </c>
      <c r="C234">
        <v>36142972000168</v>
      </c>
      <c r="D234">
        <v>19</v>
      </c>
      <c r="E234" t="s">
        <v>1590</v>
      </c>
      <c r="F234">
        <v>19</v>
      </c>
      <c r="G234" t="s">
        <v>1627</v>
      </c>
      <c r="H234" t="str">
        <f t="shared" si="3"/>
        <v>REDE 19 - BANDEIRA 19 - LOJA 233</v>
      </c>
      <c r="I234">
        <v>1</v>
      </c>
      <c r="J234" t="s">
        <v>26</v>
      </c>
      <c r="K234">
        <v>2</v>
      </c>
      <c r="L234" t="s">
        <v>609</v>
      </c>
      <c r="M234">
        <v>1</v>
      </c>
      <c r="N234" t="s">
        <v>28</v>
      </c>
      <c r="O234">
        <v>1</v>
      </c>
      <c r="P234" t="s">
        <v>29</v>
      </c>
      <c r="Q234" t="s">
        <v>30</v>
      </c>
      <c r="R234">
        <v>1</v>
      </c>
      <c r="S234" t="s">
        <v>31</v>
      </c>
      <c r="T234" t="s">
        <v>610</v>
      </c>
      <c r="U234" s="1">
        <v>-254710518</v>
      </c>
      <c r="V234" s="1">
        <v>-492941842</v>
      </c>
      <c r="W234" t="s">
        <v>232</v>
      </c>
      <c r="X234">
        <v>1</v>
      </c>
      <c r="Y234" t="s">
        <v>34</v>
      </c>
    </row>
    <row r="235" spans="1:25" x14ac:dyDescent="0.3">
      <c r="A235">
        <v>234</v>
      </c>
      <c r="B235">
        <v>234</v>
      </c>
      <c r="C235">
        <v>26480359000105</v>
      </c>
      <c r="D235">
        <v>19</v>
      </c>
      <c r="E235" t="s">
        <v>1590</v>
      </c>
      <c r="F235">
        <v>19</v>
      </c>
      <c r="G235" t="s">
        <v>1627</v>
      </c>
      <c r="H235" t="str">
        <f t="shared" si="3"/>
        <v>REDE 19 - BANDEIRA 19 - LOJA 234</v>
      </c>
      <c r="I235">
        <v>1</v>
      </c>
      <c r="J235" t="s">
        <v>26</v>
      </c>
      <c r="K235">
        <v>2</v>
      </c>
      <c r="L235" t="s">
        <v>611</v>
      </c>
      <c r="M235">
        <v>1</v>
      </c>
      <c r="N235" t="s">
        <v>28</v>
      </c>
      <c r="O235">
        <v>1</v>
      </c>
      <c r="P235" t="s">
        <v>29</v>
      </c>
      <c r="Q235" t="s">
        <v>30</v>
      </c>
      <c r="R235">
        <v>1</v>
      </c>
      <c r="S235" t="s">
        <v>31</v>
      </c>
      <c r="T235" t="s">
        <v>612</v>
      </c>
      <c r="U235" s="1">
        <v>-254527672</v>
      </c>
      <c r="V235" s="1">
        <v>-492876282999999</v>
      </c>
      <c r="W235" t="s">
        <v>33</v>
      </c>
      <c r="X235">
        <v>1</v>
      </c>
      <c r="Y235" t="s">
        <v>34</v>
      </c>
    </row>
    <row r="236" spans="1:25" x14ac:dyDescent="0.3">
      <c r="A236">
        <v>235</v>
      </c>
      <c r="B236">
        <v>235</v>
      </c>
      <c r="C236">
        <v>28820681000153</v>
      </c>
      <c r="D236">
        <v>19</v>
      </c>
      <c r="E236" t="s">
        <v>1590</v>
      </c>
      <c r="F236">
        <v>19</v>
      </c>
      <c r="G236" t="s">
        <v>1627</v>
      </c>
      <c r="H236" t="str">
        <f t="shared" si="3"/>
        <v>REDE 19 - BANDEIRA 19 - LOJA 235</v>
      </c>
      <c r="I236">
        <v>1</v>
      </c>
      <c r="J236" t="s">
        <v>26</v>
      </c>
      <c r="K236">
        <v>2</v>
      </c>
      <c r="L236" t="s">
        <v>613</v>
      </c>
      <c r="M236">
        <v>1</v>
      </c>
      <c r="N236" t="s">
        <v>28</v>
      </c>
      <c r="O236">
        <v>1</v>
      </c>
      <c r="P236" t="s">
        <v>29</v>
      </c>
      <c r="Q236" t="s">
        <v>30</v>
      </c>
      <c r="R236">
        <v>1</v>
      </c>
      <c r="S236" t="s">
        <v>31</v>
      </c>
      <c r="T236" t="s">
        <v>614</v>
      </c>
      <c r="U236" s="1">
        <v>-254043396</v>
      </c>
      <c r="V236" s="1">
        <v>-492452226</v>
      </c>
      <c r="W236" t="s">
        <v>244</v>
      </c>
      <c r="X236">
        <v>1</v>
      </c>
      <c r="Y236" t="s">
        <v>34</v>
      </c>
    </row>
    <row r="237" spans="1:25" x14ac:dyDescent="0.3">
      <c r="A237">
        <v>236</v>
      </c>
      <c r="B237">
        <v>236</v>
      </c>
      <c r="C237">
        <v>18353279000152</v>
      </c>
      <c r="D237">
        <v>19</v>
      </c>
      <c r="E237" t="s">
        <v>1590</v>
      </c>
      <c r="F237">
        <v>19</v>
      </c>
      <c r="G237" t="s">
        <v>1627</v>
      </c>
      <c r="H237" t="str">
        <f t="shared" si="3"/>
        <v>REDE 19 - BANDEIRA 19 - LOJA 236</v>
      </c>
      <c r="I237">
        <v>1</v>
      </c>
      <c r="J237" t="s">
        <v>26</v>
      </c>
      <c r="K237">
        <v>2</v>
      </c>
      <c r="L237" t="s">
        <v>615</v>
      </c>
      <c r="M237">
        <v>1</v>
      </c>
      <c r="N237" t="s">
        <v>28</v>
      </c>
      <c r="O237">
        <v>1</v>
      </c>
      <c r="P237" t="s">
        <v>29</v>
      </c>
      <c r="Q237" t="s">
        <v>30</v>
      </c>
      <c r="R237">
        <v>1</v>
      </c>
      <c r="S237" t="s">
        <v>31</v>
      </c>
      <c r="T237" t="s">
        <v>616</v>
      </c>
      <c r="U237" s="1">
        <v>-254408007</v>
      </c>
      <c r="V237" s="1">
        <v>-492698322</v>
      </c>
      <c r="W237" t="s">
        <v>350</v>
      </c>
      <c r="X237">
        <v>1</v>
      </c>
      <c r="Y237" t="s">
        <v>34</v>
      </c>
    </row>
    <row r="238" spans="1:25" x14ac:dyDescent="0.3">
      <c r="A238">
        <v>237</v>
      </c>
      <c r="B238">
        <v>237</v>
      </c>
      <c r="C238">
        <v>46562220000100</v>
      </c>
      <c r="D238">
        <v>19</v>
      </c>
      <c r="E238" t="s">
        <v>1590</v>
      </c>
      <c r="F238">
        <v>19</v>
      </c>
      <c r="G238" t="s">
        <v>1627</v>
      </c>
      <c r="H238" t="str">
        <f t="shared" si="3"/>
        <v>REDE 19 - BANDEIRA 19 - LOJA 237</v>
      </c>
      <c r="I238">
        <v>1</v>
      </c>
      <c r="J238" t="s">
        <v>26</v>
      </c>
      <c r="K238">
        <v>2</v>
      </c>
      <c r="L238" t="s">
        <v>617</v>
      </c>
      <c r="M238">
        <v>1</v>
      </c>
      <c r="N238" t="s">
        <v>28</v>
      </c>
      <c r="O238">
        <v>1</v>
      </c>
      <c r="P238" t="s">
        <v>29</v>
      </c>
      <c r="Q238" t="s">
        <v>30</v>
      </c>
      <c r="R238">
        <v>1</v>
      </c>
      <c r="S238" t="s">
        <v>31</v>
      </c>
      <c r="T238" t="s">
        <v>618</v>
      </c>
      <c r="U238" s="1">
        <v>-254306657</v>
      </c>
      <c r="V238" s="1">
        <v>-492441247</v>
      </c>
      <c r="W238" t="s">
        <v>261</v>
      </c>
      <c r="X238">
        <v>1</v>
      </c>
      <c r="Y238" t="s">
        <v>34</v>
      </c>
    </row>
    <row r="239" spans="1:25" x14ac:dyDescent="0.3">
      <c r="A239">
        <v>238</v>
      </c>
      <c r="B239">
        <v>238</v>
      </c>
      <c r="C239">
        <v>44578137000101</v>
      </c>
      <c r="D239">
        <v>19</v>
      </c>
      <c r="E239" t="s">
        <v>1590</v>
      </c>
      <c r="F239">
        <v>19</v>
      </c>
      <c r="G239" t="s">
        <v>1627</v>
      </c>
      <c r="H239" t="str">
        <f t="shared" si="3"/>
        <v>REDE 19 - BANDEIRA 19 - LOJA 238</v>
      </c>
      <c r="I239">
        <v>1</v>
      </c>
      <c r="J239" t="s">
        <v>26</v>
      </c>
      <c r="K239">
        <v>2</v>
      </c>
      <c r="L239" t="s">
        <v>619</v>
      </c>
      <c r="M239">
        <v>3</v>
      </c>
      <c r="N239" t="s">
        <v>43</v>
      </c>
      <c r="O239">
        <v>3</v>
      </c>
      <c r="P239" t="s">
        <v>44</v>
      </c>
      <c r="Q239" t="s">
        <v>43</v>
      </c>
      <c r="R239">
        <v>2</v>
      </c>
      <c r="S239" t="s">
        <v>39</v>
      </c>
      <c r="T239" t="s">
        <v>620</v>
      </c>
      <c r="U239" s="1">
        <v>-228775328</v>
      </c>
      <c r="V239" s="1">
        <v>-433569989999999</v>
      </c>
      <c r="W239" t="s">
        <v>621</v>
      </c>
      <c r="X239">
        <v>1</v>
      </c>
      <c r="Y239" t="s">
        <v>34</v>
      </c>
    </row>
    <row r="240" spans="1:25" x14ac:dyDescent="0.3">
      <c r="A240">
        <v>239</v>
      </c>
      <c r="B240">
        <v>239</v>
      </c>
      <c r="C240">
        <v>17451533000192</v>
      </c>
      <c r="D240">
        <v>19</v>
      </c>
      <c r="E240" t="s">
        <v>1590</v>
      </c>
      <c r="F240">
        <v>19</v>
      </c>
      <c r="G240" t="s">
        <v>1627</v>
      </c>
      <c r="H240" t="str">
        <f t="shared" si="3"/>
        <v>REDE 19 - BANDEIRA 19 - LOJA 239</v>
      </c>
      <c r="I240">
        <v>1</v>
      </c>
      <c r="J240" t="s">
        <v>26</v>
      </c>
      <c r="K240">
        <v>2</v>
      </c>
      <c r="L240" t="s">
        <v>622</v>
      </c>
      <c r="M240">
        <v>1</v>
      </c>
      <c r="N240" t="s">
        <v>28</v>
      </c>
      <c r="O240">
        <v>1</v>
      </c>
      <c r="P240" t="s">
        <v>29</v>
      </c>
      <c r="Q240" t="s">
        <v>30</v>
      </c>
      <c r="R240">
        <v>1</v>
      </c>
      <c r="S240" t="s">
        <v>31</v>
      </c>
      <c r="T240" t="s">
        <v>623</v>
      </c>
      <c r="U240" s="1">
        <v>-254081252</v>
      </c>
      <c r="V240" s="1">
        <v>-493396213</v>
      </c>
      <c r="W240" t="s">
        <v>596</v>
      </c>
      <c r="X240">
        <v>1</v>
      </c>
      <c r="Y240" t="s">
        <v>34</v>
      </c>
    </row>
    <row r="241" spans="1:25" x14ac:dyDescent="0.3">
      <c r="A241">
        <v>240</v>
      </c>
      <c r="B241">
        <v>240</v>
      </c>
      <c r="C241">
        <v>22971364000151</v>
      </c>
      <c r="D241">
        <v>19</v>
      </c>
      <c r="E241" t="s">
        <v>1590</v>
      </c>
      <c r="F241">
        <v>19</v>
      </c>
      <c r="G241" t="s">
        <v>1627</v>
      </c>
      <c r="H241" t="str">
        <f t="shared" si="3"/>
        <v>REDE 19 - BANDEIRA 19 - LOJA 240</v>
      </c>
      <c r="I241">
        <v>1</v>
      </c>
      <c r="J241" t="s">
        <v>26</v>
      </c>
      <c r="K241">
        <v>2</v>
      </c>
      <c r="L241" t="s">
        <v>624</v>
      </c>
      <c r="M241">
        <v>1</v>
      </c>
      <c r="N241" t="s">
        <v>28</v>
      </c>
      <c r="O241">
        <v>1</v>
      </c>
      <c r="P241" t="s">
        <v>29</v>
      </c>
      <c r="Q241" t="s">
        <v>30</v>
      </c>
      <c r="R241">
        <v>1</v>
      </c>
      <c r="S241" t="s">
        <v>31</v>
      </c>
      <c r="T241" t="s">
        <v>625</v>
      </c>
      <c r="U241" s="1">
        <v>-254379244</v>
      </c>
      <c r="V241" s="1">
        <v>-49220378</v>
      </c>
      <c r="W241" t="s">
        <v>626</v>
      </c>
      <c r="X241">
        <v>1</v>
      </c>
      <c r="Y241" t="s">
        <v>34</v>
      </c>
    </row>
    <row r="242" spans="1:25" x14ac:dyDescent="0.3">
      <c r="A242">
        <v>241</v>
      </c>
      <c r="B242">
        <v>241</v>
      </c>
      <c r="C242">
        <v>20231167000170</v>
      </c>
      <c r="D242">
        <v>19</v>
      </c>
      <c r="E242" t="s">
        <v>1590</v>
      </c>
      <c r="F242">
        <v>19</v>
      </c>
      <c r="G242" t="s">
        <v>1627</v>
      </c>
      <c r="H242" t="str">
        <f t="shared" si="3"/>
        <v>REDE 19 - BANDEIRA 19 - LOJA 241</v>
      </c>
      <c r="I242">
        <v>1</v>
      </c>
      <c r="J242" t="s">
        <v>26</v>
      </c>
      <c r="K242">
        <v>2</v>
      </c>
      <c r="L242" t="s">
        <v>627</v>
      </c>
      <c r="M242">
        <v>1</v>
      </c>
      <c r="N242" t="s">
        <v>28</v>
      </c>
      <c r="O242">
        <v>1</v>
      </c>
      <c r="P242" t="s">
        <v>29</v>
      </c>
      <c r="Q242" t="s">
        <v>30</v>
      </c>
      <c r="R242">
        <v>1</v>
      </c>
      <c r="S242" t="s">
        <v>31</v>
      </c>
      <c r="T242" t="s">
        <v>628</v>
      </c>
      <c r="U242" s="1">
        <v>-255163001</v>
      </c>
      <c r="V242" s="1">
        <v>-492300364</v>
      </c>
      <c r="W242" t="s">
        <v>578</v>
      </c>
      <c r="X242">
        <v>1</v>
      </c>
      <c r="Y242" t="s">
        <v>34</v>
      </c>
    </row>
    <row r="243" spans="1:25" x14ac:dyDescent="0.3">
      <c r="A243">
        <v>242</v>
      </c>
      <c r="B243">
        <v>242</v>
      </c>
      <c r="C243">
        <v>17940939000139</v>
      </c>
      <c r="D243">
        <v>19</v>
      </c>
      <c r="E243" t="s">
        <v>1590</v>
      </c>
      <c r="F243">
        <v>19</v>
      </c>
      <c r="G243" t="s">
        <v>1627</v>
      </c>
      <c r="H243" t="str">
        <f t="shared" si="3"/>
        <v>REDE 19 - BANDEIRA 19 - LOJA 242</v>
      </c>
      <c r="I243">
        <v>1</v>
      </c>
      <c r="J243" t="s">
        <v>26</v>
      </c>
      <c r="K243">
        <v>2</v>
      </c>
      <c r="L243" t="s">
        <v>629</v>
      </c>
      <c r="M243">
        <v>1</v>
      </c>
      <c r="N243" t="s">
        <v>28</v>
      </c>
      <c r="O243">
        <v>1</v>
      </c>
      <c r="P243" t="s">
        <v>29</v>
      </c>
      <c r="Q243" t="s">
        <v>30</v>
      </c>
      <c r="R243">
        <v>1</v>
      </c>
      <c r="S243" t="s">
        <v>31</v>
      </c>
      <c r="T243" t="s">
        <v>630</v>
      </c>
      <c r="U243" s="1">
        <v>-25424367</v>
      </c>
      <c r="V243" s="1">
        <v>-49271351</v>
      </c>
      <c r="W243" t="s">
        <v>631</v>
      </c>
      <c r="X243">
        <v>1</v>
      </c>
      <c r="Y243" t="s">
        <v>34</v>
      </c>
    </row>
    <row r="244" spans="1:25" x14ac:dyDescent="0.3">
      <c r="A244">
        <v>243</v>
      </c>
      <c r="B244">
        <v>243</v>
      </c>
      <c r="C244">
        <v>34461552000119</v>
      </c>
      <c r="D244">
        <v>19</v>
      </c>
      <c r="E244" t="s">
        <v>1590</v>
      </c>
      <c r="F244">
        <v>19</v>
      </c>
      <c r="G244" t="s">
        <v>1627</v>
      </c>
      <c r="H244" t="str">
        <f t="shared" si="3"/>
        <v>REDE 19 - BANDEIRA 19 - LOJA 243</v>
      </c>
      <c r="I244">
        <v>1</v>
      </c>
      <c r="J244" t="s">
        <v>26</v>
      </c>
      <c r="K244">
        <v>2</v>
      </c>
      <c r="L244" t="s">
        <v>632</v>
      </c>
      <c r="M244">
        <v>2</v>
      </c>
      <c r="N244" t="s">
        <v>36</v>
      </c>
      <c r="O244">
        <v>2</v>
      </c>
      <c r="P244" t="s">
        <v>37</v>
      </c>
      <c r="Q244" t="s">
        <v>38</v>
      </c>
      <c r="R244">
        <v>2</v>
      </c>
      <c r="S244" t="s">
        <v>39</v>
      </c>
      <c r="T244" t="s">
        <v>633</v>
      </c>
      <c r="U244" s="1">
        <v>-236310062</v>
      </c>
      <c r="V244" s="1">
        <v>-465989784</v>
      </c>
      <c r="W244" t="s">
        <v>634</v>
      </c>
      <c r="X244">
        <v>1</v>
      </c>
      <c r="Y244" t="s">
        <v>34</v>
      </c>
    </row>
    <row r="245" spans="1:25" x14ac:dyDescent="0.3">
      <c r="A245">
        <v>244</v>
      </c>
      <c r="B245">
        <v>244</v>
      </c>
      <c r="C245">
        <v>23121356000189</v>
      </c>
      <c r="D245">
        <v>19</v>
      </c>
      <c r="E245" t="s">
        <v>1590</v>
      </c>
      <c r="F245">
        <v>19</v>
      </c>
      <c r="G245" t="s">
        <v>1627</v>
      </c>
      <c r="H245" t="str">
        <f t="shared" si="3"/>
        <v>REDE 19 - BANDEIRA 19 - LOJA 244</v>
      </c>
      <c r="I245">
        <v>1</v>
      </c>
      <c r="J245" t="s">
        <v>26</v>
      </c>
      <c r="K245">
        <v>2</v>
      </c>
      <c r="L245" t="s">
        <v>635</v>
      </c>
      <c r="M245">
        <v>2</v>
      </c>
      <c r="N245" t="s">
        <v>36</v>
      </c>
      <c r="O245">
        <v>2</v>
      </c>
      <c r="P245" t="s">
        <v>37</v>
      </c>
      <c r="Q245" t="s">
        <v>38</v>
      </c>
      <c r="R245">
        <v>2</v>
      </c>
      <c r="S245" t="s">
        <v>39</v>
      </c>
      <c r="T245" t="s">
        <v>636</v>
      </c>
      <c r="U245" s="1">
        <v>-236596749</v>
      </c>
      <c r="V245" s="1">
        <v>-467656872</v>
      </c>
      <c r="W245" t="s">
        <v>637</v>
      </c>
      <c r="X245">
        <v>1</v>
      </c>
      <c r="Y245" t="s">
        <v>34</v>
      </c>
    </row>
    <row r="246" spans="1:25" x14ac:dyDescent="0.3">
      <c r="A246">
        <v>245</v>
      </c>
      <c r="B246">
        <v>245</v>
      </c>
      <c r="C246">
        <v>46506008000125</v>
      </c>
      <c r="D246">
        <v>19</v>
      </c>
      <c r="E246" t="s">
        <v>1590</v>
      </c>
      <c r="F246">
        <v>19</v>
      </c>
      <c r="G246" t="s">
        <v>1627</v>
      </c>
      <c r="H246" t="str">
        <f t="shared" si="3"/>
        <v>REDE 19 - BANDEIRA 19 - LOJA 245</v>
      </c>
      <c r="I246">
        <v>1</v>
      </c>
      <c r="J246" t="s">
        <v>26</v>
      </c>
      <c r="K246">
        <v>2</v>
      </c>
      <c r="L246" t="s">
        <v>638</v>
      </c>
      <c r="M246">
        <v>2</v>
      </c>
      <c r="N246" t="s">
        <v>36</v>
      </c>
      <c r="O246">
        <v>2</v>
      </c>
      <c r="P246" t="s">
        <v>37</v>
      </c>
      <c r="Q246" t="s">
        <v>38</v>
      </c>
      <c r="R246">
        <v>2</v>
      </c>
      <c r="S246" t="s">
        <v>39</v>
      </c>
      <c r="T246" t="s">
        <v>639</v>
      </c>
      <c r="U246" s="1">
        <v>-234871139</v>
      </c>
      <c r="V246" s="1">
        <v>-467145918999999</v>
      </c>
      <c r="W246" t="s">
        <v>640</v>
      </c>
      <c r="X246">
        <v>1</v>
      </c>
      <c r="Y246" t="s">
        <v>34</v>
      </c>
    </row>
    <row r="247" spans="1:25" x14ac:dyDescent="0.3">
      <c r="A247">
        <v>246</v>
      </c>
      <c r="B247">
        <v>246</v>
      </c>
      <c r="C247">
        <v>19676918000183</v>
      </c>
      <c r="D247">
        <v>19</v>
      </c>
      <c r="E247" t="s">
        <v>1590</v>
      </c>
      <c r="F247">
        <v>19</v>
      </c>
      <c r="G247" t="s">
        <v>1627</v>
      </c>
      <c r="H247" t="str">
        <f t="shared" si="3"/>
        <v>REDE 19 - BANDEIRA 19 - LOJA 246</v>
      </c>
      <c r="I247">
        <v>1</v>
      </c>
      <c r="J247" t="s">
        <v>26</v>
      </c>
      <c r="K247">
        <v>2</v>
      </c>
      <c r="L247" t="s">
        <v>641</v>
      </c>
      <c r="M247">
        <v>6</v>
      </c>
      <c r="N247" t="s">
        <v>236</v>
      </c>
      <c r="O247">
        <v>5</v>
      </c>
      <c r="P247" t="s">
        <v>237</v>
      </c>
      <c r="Q247" t="s">
        <v>238</v>
      </c>
      <c r="R247">
        <v>4</v>
      </c>
      <c r="S247" t="s">
        <v>239</v>
      </c>
      <c r="T247" t="s">
        <v>642</v>
      </c>
      <c r="U247" s="1">
        <v>-37202411</v>
      </c>
      <c r="V247" s="1">
        <v>-385950291</v>
      </c>
      <c r="W247" t="s">
        <v>643</v>
      </c>
      <c r="X247">
        <v>1</v>
      </c>
      <c r="Y247" t="s">
        <v>34</v>
      </c>
    </row>
    <row r="248" spans="1:25" x14ac:dyDescent="0.3">
      <c r="A248">
        <v>247</v>
      </c>
      <c r="B248">
        <v>247</v>
      </c>
      <c r="C248">
        <v>4289055000114</v>
      </c>
      <c r="D248">
        <v>19</v>
      </c>
      <c r="E248" t="s">
        <v>1590</v>
      </c>
      <c r="F248">
        <v>19</v>
      </c>
      <c r="G248" t="s">
        <v>1627</v>
      </c>
      <c r="H248" t="str">
        <f t="shared" si="3"/>
        <v>REDE 19 - BANDEIRA 19 - LOJA 247</v>
      </c>
      <c r="I248">
        <v>1</v>
      </c>
      <c r="J248" t="s">
        <v>26</v>
      </c>
      <c r="K248">
        <v>2</v>
      </c>
      <c r="L248" t="s">
        <v>644</v>
      </c>
      <c r="M248">
        <v>1</v>
      </c>
      <c r="N248" t="s">
        <v>28</v>
      </c>
      <c r="O248">
        <v>1</v>
      </c>
      <c r="P248" t="s">
        <v>29</v>
      </c>
      <c r="Q248" t="s">
        <v>30</v>
      </c>
      <c r="R248">
        <v>1</v>
      </c>
      <c r="S248" t="s">
        <v>31</v>
      </c>
      <c r="T248" t="s">
        <v>349</v>
      </c>
      <c r="U248" s="1">
        <v>-254446097</v>
      </c>
      <c r="V248" s="1">
        <v>-49262977</v>
      </c>
      <c r="W248" t="s">
        <v>221</v>
      </c>
      <c r="X248">
        <v>1</v>
      </c>
      <c r="Y248" t="s">
        <v>34</v>
      </c>
    </row>
    <row r="249" spans="1:25" x14ac:dyDescent="0.3">
      <c r="A249">
        <v>248</v>
      </c>
      <c r="B249">
        <v>248</v>
      </c>
      <c r="C249">
        <v>16854024000148</v>
      </c>
      <c r="D249">
        <v>19</v>
      </c>
      <c r="E249" t="s">
        <v>1590</v>
      </c>
      <c r="F249">
        <v>19</v>
      </c>
      <c r="G249" t="s">
        <v>1627</v>
      </c>
      <c r="H249" t="str">
        <f t="shared" si="3"/>
        <v>REDE 19 - BANDEIRA 19 - LOJA 248</v>
      </c>
      <c r="I249">
        <v>1</v>
      </c>
      <c r="J249" t="s">
        <v>26</v>
      </c>
      <c r="K249">
        <v>2</v>
      </c>
      <c r="L249" t="s">
        <v>645</v>
      </c>
      <c r="M249">
        <v>4</v>
      </c>
      <c r="N249" t="s">
        <v>60</v>
      </c>
      <c r="O249">
        <v>4</v>
      </c>
      <c r="P249" t="s">
        <v>61</v>
      </c>
      <c r="Q249" t="s">
        <v>62</v>
      </c>
      <c r="R249">
        <v>3</v>
      </c>
      <c r="S249" t="s">
        <v>63</v>
      </c>
      <c r="T249" t="s">
        <v>646</v>
      </c>
      <c r="U249" s="1">
        <v>-157662824</v>
      </c>
      <c r="V249" s="1">
        <v>-478829416</v>
      </c>
      <c r="W249" t="s">
        <v>65</v>
      </c>
      <c r="X249">
        <v>1</v>
      </c>
      <c r="Y249" t="s">
        <v>34</v>
      </c>
    </row>
    <row r="250" spans="1:25" x14ac:dyDescent="0.3">
      <c r="A250">
        <v>249</v>
      </c>
      <c r="B250">
        <v>249</v>
      </c>
      <c r="C250">
        <v>53287660000161</v>
      </c>
      <c r="D250">
        <v>19</v>
      </c>
      <c r="E250" t="s">
        <v>1590</v>
      </c>
      <c r="F250">
        <v>19</v>
      </c>
      <c r="G250" t="s">
        <v>1627</v>
      </c>
      <c r="H250" t="str">
        <f t="shared" si="3"/>
        <v>REDE 19 - BANDEIRA 19 - LOJA 249</v>
      </c>
      <c r="I250">
        <v>1</v>
      </c>
      <c r="J250" t="s">
        <v>26</v>
      </c>
      <c r="K250">
        <v>2</v>
      </c>
      <c r="L250" t="s">
        <v>647</v>
      </c>
      <c r="M250">
        <v>2</v>
      </c>
      <c r="N250" t="s">
        <v>36</v>
      </c>
      <c r="O250">
        <v>2</v>
      </c>
      <c r="P250" t="s">
        <v>37</v>
      </c>
      <c r="Q250" t="s">
        <v>38</v>
      </c>
      <c r="R250">
        <v>2</v>
      </c>
      <c r="S250" t="s">
        <v>39</v>
      </c>
      <c r="T250" t="s">
        <v>648</v>
      </c>
      <c r="U250" s="1">
        <v>-235155164</v>
      </c>
      <c r="V250" s="1">
        <v>-466183535</v>
      </c>
      <c r="W250" t="s">
        <v>496</v>
      </c>
      <c r="X250">
        <v>1</v>
      </c>
      <c r="Y250" t="s">
        <v>34</v>
      </c>
    </row>
    <row r="251" spans="1:25" x14ac:dyDescent="0.3">
      <c r="A251">
        <v>250</v>
      </c>
      <c r="B251">
        <v>250</v>
      </c>
      <c r="C251">
        <v>36157686000176</v>
      </c>
      <c r="D251">
        <v>19</v>
      </c>
      <c r="E251" t="s">
        <v>1590</v>
      </c>
      <c r="F251">
        <v>19</v>
      </c>
      <c r="G251" t="s">
        <v>1627</v>
      </c>
      <c r="H251" t="str">
        <f t="shared" si="3"/>
        <v>REDE 19 - BANDEIRA 19 - LOJA 250</v>
      </c>
      <c r="I251">
        <v>1</v>
      </c>
      <c r="J251" t="s">
        <v>26</v>
      </c>
      <c r="K251">
        <v>1</v>
      </c>
      <c r="L251" t="s">
        <v>649</v>
      </c>
      <c r="M251">
        <v>3</v>
      </c>
      <c r="N251" t="s">
        <v>43</v>
      </c>
      <c r="O251">
        <v>3</v>
      </c>
      <c r="P251" t="s">
        <v>44</v>
      </c>
      <c r="Q251" t="s">
        <v>43</v>
      </c>
      <c r="R251">
        <v>2</v>
      </c>
      <c r="S251" t="s">
        <v>39</v>
      </c>
      <c r="T251" t="s">
        <v>650</v>
      </c>
      <c r="U251" s="1">
        <v>-229386994</v>
      </c>
      <c r="V251" s="1">
        <v>-433401961</v>
      </c>
      <c r="W251" t="s">
        <v>209</v>
      </c>
      <c r="X251">
        <v>1</v>
      </c>
      <c r="Y251" t="s">
        <v>34</v>
      </c>
    </row>
    <row r="252" spans="1:25" x14ac:dyDescent="0.3">
      <c r="A252">
        <v>251</v>
      </c>
      <c r="B252">
        <v>251</v>
      </c>
      <c r="C252">
        <v>33265351000345</v>
      </c>
      <c r="D252">
        <v>19</v>
      </c>
      <c r="E252" t="s">
        <v>1590</v>
      </c>
      <c r="F252">
        <v>19</v>
      </c>
      <c r="G252" t="s">
        <v>1627</v>
      </c>
      <c r="H252" t="str">
        <f t="shared" si="3"/>
        <v>REDE 19 - BANDEIRA 19 - LOJA 251</v>
      </c>
      <c r="I252">
        <v>1</v>
      </c>
      <c r="J252" t="s">
        <v>26</v>
      </c>
      <c r="K252">
        <v>2</v>
      </c>
      <c r="L252" t="s">
        <v>651</v>
      </c>
      <c r="M252">
        <v>3</v>
      </c>
      <c r="N252" t="s">
        <v>43</v>
      </c>
      <c r="O252">
        <v>3</v>
      </c>
      <c r="P252" t="s">
        <v>44</v>
      </c>
      <c r="Q252" t="s">
        <v>43</v>
      </c>
      <c r="R252">
        <v>2</v>
      </c>
      <c r="S252" t="s">
        <v>39</v>
      </c>
      <c r="T252" t="s">
        <v>652</v>
      </c>
      <c r="U252" s="1">
        <v>-229801822</v>
      </c>
      <c r="V252" s="1">
        <v>-431913858</v>
      </c>
      <c r="W252" t="s">
        <v>135</v>
      </c>
      <c r="X252">
        <v>1</v>
      </c>
      <c r="Y252" t="s">
        <v>34</v>
      </c>
    </row>
    <row r="253" spans="1:25" x14ac:dyDescent="0.3">
      <c r="A253">
        <v>252</v>
      </c>
      <c r="B253">
        <v>252</v>
      </c>
      <c r="C253">
        <v>18446440000132</v>
      </c>
      <c r="D253">
        <v>19</v>
      </c>
      <c r="E253" t="s">
        <v>1590</v>
      </c>
      <c r="F253">
        <v>19</v>
      </c>
      <c r="G253" t="s">
        <v>1627</v>
      </c>
      <c r="H253" t="str">
        <f t="shared" si="3"/>
        <v>REDE 19 - BANDEIRA 19 - LOJA 252</v>
      </c>
      <c r="I253">
        <v>1</v>
      </c>
      <c r="J253" t="s">
        <v>26</v>
      </c>
      <c r="K253">
        <v>1</v>
      </c>
      <c r="L253" t="s">
        <v>653</v>
      </c>
      <c r="M253">
        <v>3</v>
      </c>
      <c r="N253" t="s">
        <v>43</v>
      </c>
      <c r="O253">
        <v>3</v>
      </c>
      <c r="P253" t="s">
        <v>44</v>
      </c>
      <c r="Q253" t="s">
        <v>43</v>
      </c>
      <c r="R253">
        <v>2</v>
      </c>
      <c r="S253" t="s">
        <v>39</v>
      </c>
      <c r="T253" t="s">
        <v>654</v>
      </c>
      <c r="U253" s="1">
        <v>-229022792</v>
      </c>
      <c r="V253" s="1">
        <v>-431769627</v>
      </c>
      <c r="W253" t="s">
        <v>221</v>
      </c>
      <c r="X253">
        <v>1</v>
      </c>
      <c r="Y253" t="s">
        <v>34</v>
      </c>
    </row>
    <row r="254" spans="1:25" x14ac:dyDescent="0.3">
      <c r="A254">
        <v>253</v>
      </c>
      <c r="B254">
        <v>253</v>
      </c>
      <c r="C254">
        <v>19555583000145</v>
      </c>
      <c r="D254">
        <v>19</v>
      </c>
      <c r="E254" t="s">
        <v>1590</v>
      </c>
      <c r="F254">
        <v>19</v>
      </c>
      <c r="G254" t="s">
        <v>1627</v>
      </c>
      <c r="H254" t="str">
        <f t="shared" si="3"/>
        <v>REDE 19 - BANDEIRA 19 - LOJA 253</v>
      </c>
      <c r="I254">
        <v>1</v>
      </c>
      <c r="J254" t="s">
        <v>26</v>
      </c>
      <c r="K254">
        <v>2</v>
      </c>
      <c r="L254" t="s">
        <v>655</v>
      </c>
      <c r="M254">
        <v>2</v>
      </c>
      <c r="N254" t="s">
        <v>36</v>
      </c>
      <c r="O254">
        <v>2</v>
      </c>
      <c r="P254" t="s">
        <v>37</v>
      </c>
      <c r="Q254" t="s">
        <v>38</v>
      </c>
      <c r="R254">
        <v>2</v>
      </c>
      <c r="S254" t="s">
        <v>39</v>
      </c>
      <c r="T254" t="s">
        <v>656</v>
      </c>
      <c r="U254" s="1">
        <v>-235052231</v>
      </c>
      <c r="V254" s="1">
        <v>-466077816</v>
      </c>
      <c r="W254" t="s">
        <v>496</v>
      </c>
      <c r="X254">
        <v>1</v>
      </c>
      <c r="Y254" t="s">
        <v>34</v>
      </c>
    </row>
    <row r="255" spans="1:25" x14ac:dyDescent="0.3">
      <c r="A255">
        <v>254</v>
      </c>
      <c r="B255">
        <v>254</v>
      </c>
      <c r="C255">
        <v>29786133000117</v>
      </c>
      <c r="D255">
        <v>19</v>
      </c>
      <c r="E255" t="s">
        <v>1590</v>
      </c>
      <c r="F255">
        <v>19</v>
      </c>
      <c r="G255" t="s">
        <v>1627</v>
      </c>
      <c r="H255" t="str">
        <f t="shared" si="3"/>
        <v>REDE 19 - BANDEIRA 19 - LOJA 254</v>
      </c>
      <c r="I255">
        <v>1</v>
      </c>
      <c r="J255" t="s">
        <v>26</v>
      </c>
      <c r="K255">
        <v>1</v>
      </c>
      <c r="L255" t="s">
        <v>657</v>
      </c>
      <c r="M255">
        <v>1</v>
      </c>
      <c r="N255" t="s">
        <v>28</v>
      </c>
      <c r="O255">
        <v>1</v>
      </c>
      <c r="P255" t="s">
        <v>29</v>
      </c>
      <c r="Q255" t="s">
        <v>30</v>
      </c>
      <c r="R255">
        <v>1</v>
      </c>
      <c r="S255" t="s">
        <v>31</v>
      </c>
      <c r="T255" t="s">
        <v>658</v>
      </c>
      <c r="U255" s="1">
        <v>-254309539</v>
      </c>
      <c r="V255" s="1">
        <v>-492548837</v>
      </c>
      <c r="W255" t="s">
        <v>659</v>
      </c>
      <c r="X255">
        <v>1</v>
      </c>
      <c r="Y255" t="s">
        <v>34</v>
      </c>
    </row>
    <row r="256" spans="1:25" x14ac:dyDescent="0.3">
      <c r="A256">
        <v>255</v>
      </c>
      <c r="B256">
        <v>255</v>
      </c>
      <c r="C256">
        <v>40686649000122</v>
      </c>
      <c r="D256">
        <v>19</v>
      </c>
      <c r="E256" t="s">
        <v>1590</v>
      </c>
      <c r="F256">
        <v>19</v>
      </c>
      <c r="G256" t="s">
        <v>1627</v>
      </c>
      <c r="H256" t="str">
        <f t="shared" si="3"/>
        <v>REDE 19 - BANDEIRA 19 - LOJA 255</v>
      </c>
      <c r="I256">
        <v>1</v>
      </c>
      <c r="J256" t="s">
        <v>26</v>
      </c>
      <c r="K256">
        <v>1</v>
      </c>
      <c r="L256" t="s">
        <v>660</v>
      </c>
      <c r="M256">
        <v>1</v>
      </c>
      <c r="N256" t="s">
        <v>28</v>
      </c>
      <c r="O256">
        <v>1</v>
      </c>
      <c r="P256" t="s">
        <v>29</v>
      </c>
      <c r="Q256" t="s">
        <v>30</v>
      </c>
      <c r="R256">
        <v>1</v>
      </c>
      <c r="S256" t="s">
        <v>31</v>
      </c>
      <c r="T256" t="s">
        <v>661</v>
      </c>
      <c r="U256" s="1">
        <v>-254031702</v>
      </c>
      <c r="V256" s="1">
        <v>-492582654</v>
      </c>
      <c r="W256" t="s">
        <v>662</v>
      </c>
      <c r="X256">
        <v>1</v>
      </c>
      <c r="Y256" t="s">
        <v>34</v>
      </c>
    </row>
    <row r="257" spans="1:25" x14ac:dyDescent="0.3">
      <c r="A257">
        <v>256</v>
      </c>
      <c r="B257">
        <v>256</v>
      </c>
      <c r="C257">
        <v>45549525000119</v>
      </c>
      <c r="D257">
        <v>19</v>
      </c>
      <c r="E257" t="s">
        <v>1590</v>
      </c>
      <c r="F257">
        <v>19</v>
      </c>
      <c r="G257" t="s">
        <v>1627</v>
      </c>
      <c r="H257" t="str">
        <f t="shared" si="3"/>
        <v>REDE 19 - BANDEIRA 19 - LOJA 256</v>
      </c>
      <c r="I257">
        <v>1</v>
      </c>
      <c r="J257" t="s">
        <v>26</v>
      </c>
      <c r="K257">
        <v>1</v>
      </c>
      <c r="L257" t="s">
        <v>663</v>
      </c>
      <c r="M257">
        <v>1</v>
      </c>
      <c r="N257" t="s">
        <v>28</v>
      </c>
      <c r="O257">
        <v>1</v>
      </c>
      <c r="P257" t="s">
        <v>29</v>
      </c>
      <c r="Q257" t="s">
        <v>30</v>
      </c>
      <c r="R257">
        <v>1</v>
      </c>
      <c r="S257" t="s">
        <v>31</v>
      </c>
      <c r="T257" t="s">
        <v>664</v>
      </c>
      <c r="U257" s="1">
        <v>-254553007</v>
      </c>
      <c r="V257" s="1">
        <v>-49304063</v>
      </c>
      <c r="W257" t="s">
        <v>665</v>
      </c>
      <c r="X257">
        <v>1</v>
      </c>
      <c r="Y257" t="s">
        <v>34</v>
      </c>
    </row>
    <row r="258" spans="1:25" x14ac:dyDescent="0.3">
      <c r="A258">
        <v>257</v>
      </c>
      <c r="B258">
        <v>257</v>
      </c>
      <c r="C258">
        <v>33912232000175</v>
      </c>
      <c r="D258">
        <v>19</v>
      </c>
      <c r="E258" t="s">
        <v>1590</v>
      </c>
      <c r="F258">
        <v>19</v>
      </c>
      <c r="G258" t="s">
        <v>1627</v>
      </c>
      <c r="H258" t="str">
        <f t="shared" si="3"/>
        <v>REDE 19 - BANDEIRA 19 - LOJA 257</v>
      </c>
      <c r="I258">
        <v>1</v>
      </c>
      <c r="J258" t="s">
        <v>26</v>
      </c>
      <c r="K258">
        <v>2</v>
      </c>
      <c r="L258" t="s">
        <v>666</v>
      </c>
      <c r="M258">
        <v>4</v>
      </c>
      <c r="N258" t="s">
        <v>60</v>
      </c>
      <c r="O258">
        <v>4</v>
      </c>
      <c r="P258" t="s">
        <v>61</v>
      </c>
      <c r="Q258" t="s">
        <v>62</v>
      </c>
      <c r="R258">
        <v>3</v>
      </c>
      <c r="S258" t="s">
        <v>63</v>
      </c>
      <c r="T258" t="s">
        <v>667</v>
      </c>
      <c r="U258" s="1">
        <v>-157712649</v>
      </c>
      <c r="V258" s="1">
        <v>-478839597</v>
      </c>
      <c r="W258" t="s">
        <v>65</v>
      </c>
      <c r="X258">
        <v>0</v>
      </c>
      <c r="Y258" t="s">
        <v>46</v>
      </c>
    </row>
    <row r="259" spans="1:25" x14ac:dyDescent="0.3">
      <c r="A259">
        <v>258</v>
      </c>
      <c r="B259">
        <v>258</v>
      </c>
      <c r="C259">
        <v>48765311000178</v>
      </c>
      <c r="D259">
        <v>19</v>
      </c>
      <c r="E259" t="s">
        <v>1590</v>
      </c>
      <c r="F259">
        <v>19</v>
      </c>
      <c r="G259" t="s">
        <v>1627</v>
      </c>
      <c r="H259" t="str">
        <f t="shared" ref="H259:H322" si="4">G259 &amp; " - "&amp; E259 &amp;" - LOJA " &amp;B259</f>
        <v>REDE 19 - BANDEIRA 19 - LOJA 258</v>
      </c>
      <c r="I259">
        <v>1</v>
      </c>
      <c r="J259" t="s">
        <v>26</v>
      </c>
      <c r="K259">
        <v>2</v>
      </c>
      <c r="L259" t="s">
        <v>668</v>
      </c>
      <c r="M259">
        <v>6</v>
      </c>
      <c r="N259" t="s">
        <v>236</v>
      </c>
      <c r="O259">
        <v>5</v>
      </c>
      <c r="P259" t="s">
        <v>237</v>
      </c>
      <c r="Q259" t="s">
        <v>238</v>
      </c>
      <c r="R259">
        <v>4</v>
      </c>
      <c r="S259" t="s">
        <v>239</v>
      </c>
      <c r="T259" t="s">
        <v>669</v>
      </c>
      <c r="U259" s="1">
        <v>-37724462</v>
      </c>
      <c r="V259" s="1">
        <v>-384988506</v>
      </c>
      <c r="W259" t="s">
        <v>670</v>
      </c>
      <c r="X259">
        <v>1</v>
      </c>
      <c r="Y259" t="s">
        <v>34</v>
      </c>
    </row>
    <row r="260" spans="1:25" x14ac:dyDescent="0.3">
      <c r="A260">
        <v>259</v>
      </c>
      <c r="B260">
        <v>259</v>
      </c>
      <c r="C260">
        <v>42616445000140</v>
      </c>
      <c r="D260">
        <v>19</v>
      </c>
      <c r="E260" t="s">
        <v>1590</v>
      </c>
      <c r="F260">
        <v>19</v>
      </c>
      <c r="G260" t="s">
        <v>1627</v>
      </c>
      <c r="H260" t="str">
        <f t="shared" si="4"/>
        <v>REDE 19 - BANDEIRA 19 - LOJA 259</v>
      </c>
      <c r="I260">
        <v>1</v>
      </c>
      <c r="J260" t="s">
        <v>26</v>
      </c>
      <c r="K260">
        <v>2</v>
      </c>
      <c r="L260" t="s">
        <v>671</v>
      </c>
      <c r="M260">
        <v>1</v>
      </c>
      <c r="N260" t="s">
        <v>28</v>
      </c>
      <c r="O260">
        <v>1</v>
      </c>
      <c r="P260" t="s">
        <v>29</v>
      </c>
      <c r="Q260" t="s">
        <v>30</v>
      </c>
      <c r="R260">
        <v>1</v>
      </c>
      <c r="S260" t="s">
        <v>31</v>
      </c>
      <c r="T260" t="s">
        <v>672</v>
      </c>
      <c r="U260" s="1">
        <v>-254794945</v>
      </c>
      <c r="V260" s="1">
        <v>-49215011</v>
      </c>
      <c r="W260" t="s">
        <v>673</v>
      </c>
      <c r="X260">
        <v>1</v>
      </c>
      <c r="Y260" t="s">
        <v>34</v>
      </c>
    </row>
    <row r="261" spans="1:25" x14ac:dyDescent="0.3">
      <c r="A261">
        <v>260</v>
      </c>
      <c r="B261">
        <v>260</v>
      </c>
      <c r="C261">
        <v>39999937000158</v>
      </c>
      <c r="D261">
        <v>20</v>
      </c>
      <c r="E261" t="s">
        <v>1591</v>
      </c>
      <c r="F261">
        <v>20</v>
      </c>
      <c r="G261" t="s">
        <v>1628</v>
      </c>
      <c r="H261" t="str">
        <f t="shared" si="4"/>
        <v>REDE 20 - BANDEIRA 20 - LOJA 260</v>
      </c>
      <c r="I261">
        <v>1</v>
      </c>
      <c r="J261" t="s">
        <v>26</v>
      </c>
      <c r="K261">
        <v>1</v>
      </c>
      <c r="L261" t="s">
        <v>674</v>
      </c>
      <c r="M261">
        <v>3</v>
      </c>
      <c r="N261" t="s">
        <v>43</v>
      </c>
      <c r="O261">
        <v>3</v>
      </c>
      <c r="P261" t="s">
        <v>44</v>
      </c>
      <c r="Q261" t="s">
        <v>43</v>
      </c>
      <c r="R261">
        <v>2</v>
      </c>
      <c r="S261" t="s">
        <v>39</v>
      </c>
      <c r="T261" t="s">
        <v>675</v>
      </c>
      <c r="U261" s="1">
        <v>-229056876</v>
      </c>
      <c r="V261" s="1">
        <v>-431787622</v>
      </c>
      <c r="W261" t="s">
        <v>221</v>
      </c>
      <c r="X261">
        <v>1</v>
      </c>
      <c r="Y261" t="s">
        <v>34</v>
      </c>
    </row>
    <row r="262" spans="1:25" x14ac:dyDescent="0.3">
      <c r="A262">
        <v>261</v>
      </c>
      <c r="B262">
        <v>261</v>
      </c>
      <c r="C262">
        <v>31869939000110</v>
      </c>
      <c r="D262">
        <v>21</v>
      </c>
      <c r="E262" t="s">
        <v>1592</v>
      </c>
      <c r="F262">
        <v>21</v>
      </c>
      <c r="G262" t="s">
        <v>1629</v>
      </c>
      <c r="H262" t="str">
        <f t="shared" si="4"/>
        <v>REDE 21 - BANDEIRA 21 - LOJA 261</v>
      </c>
      <c r="I262">
        <v>1</v>
      </c>
      <c r="J262" t="s">
        <v>26</v>
      </c>
      <c r="K262">
        <v>2</v>
      </c>
      <c r="L262" t="s">
        <v>230</v>
      </c>
      <c r="M262">
        <v>1</v>
      </c>
      <c r="N262" t="s">
        <v>28</v>
      </c>
      <c r="O262">
        <v>1</v>
      </c>
      <c r="P262" t="s">
        <v>29</v>
      </c>
      <c r="Q262" t="s">
        <v>30</v>
      </c>
      <c r="R262">
        <v>1</v>
      </c>
      <c r="S262" t="s">
        <v>31</v>
      </c>
      <c r="T262" t="s">
        <v>231</v>
      </c>
      <c r="U262" s="1">
        <v>-254720967</v>
      </c>
      <c r="V262" s="1">
        <v>-492866288</v>
      </c>
      <c r="W262" t="s">
        <v>232</v>
      </c>
      <c r="X262">
        <v>1</v>
      </c>
      <c r="Y262" t="s">
        <v>34</v>
      </c>
    </row>
    <row r="263" spans="1:25" x14ac:dyDescent="0.3">
      <c r="A263">
        <v>262</v>
      </c>
      <c r="B263">
        <v>262</v>
      </c>
      <c r="C263">
        <v>17074950000163</v>
      </c>
      <c r="D263">
        <v>21</v>
      </c>
      <c r="E263" t="s">
        <v>1592</v>
      </c>
      <c r="F263">
        <v>21</v>
      </c>
      <c r="G263" t="s">
        <v>1629</v>
      </c>
      <c r="H263" t="str">
        <f t="shared" si="4"/>
        <v>REDE 21 - BANDEIRA 21 - LOJA 262</v>
      </c>
      <c r="I263">
        <v>1</v>
      </c>
      <c r="J263" t="s">
        <v>26</v>
      </c>
      <c r="K263">
        <v>2</v>
      </c>
      <c r="L263" t="s">
        <v>676</v>
      </c>
      <c r="M263">
        <v>1</v>
      </c>
      <c r="N263" t="s">
        <v>28</v>
      </c>
      <c r="O263">
        <v>1</v>
      </c>
      <c r="P263" t="s">
        <v>29</v>
      </c>
      <c r="Q263" t="s">
        <v>30</v>
      </c>
      <c r="R263">
        <v>1</v>
      </c>
      <c r="S263" t="s">
        <v>31</v>
      </c>
      <c r="T263" t="s">
        <v>677</v>
      </c>
      <c r="U263" s="1">
        <v>-254409138</v>
      </c>
      <c r="V263" s="1">
        <v>-493060009999999</v>
      </c>
      <c r="W263" t="s">
        <v>55</v>
      </c>
      <c r="X263">
        <v>1</v>
      </c>
      <c r="Y263" t="s">
        <v>34</v>
      </c>
    </row>
    <row r="264" spans="1:25" x14ac:dyDescent="0.3">
      <c r="A264">
        <v>263</v>
      </c>
      <c r="B264">
        <v>263</v>
      </c>
      <c r="C264">
        <v>30819768000152</v>
      </c>
      <c r="D264">
        <v>21</v>
      </c>
      <c r="E264" t="s">
        <v>1592</v>
      </c>
      <c r="F264">
        <v>21</v>
      </c>
      <c r="G264" t="s">
        <v>1629</v>
      </c>
      <c r="H264" t="str">
        <f t="shared" si="4"/>
        <v>REDE 21 - BANDEIRA 21 - LOJA 263</v>
      </c>
      <c r="I264">
        <v>1</v>
      </c>
      <c r="J264" t="s">
        <v>26</v>
      </c>
      <c r="K264">
        <v>2</v>
      </c>
      <c r="L264" t="s">
        <v>678</v>
      </c>
      <c r="M264">
        <v>1</v>
      </c>
      <c r="N264" t="s">
        <v>28</v>
      </c>
      <c r="O264">
        <v>1</v>
      </c>
      <c r="P264" t="s">
        <v>29</v>
      </c>
      <c r="Q264" t="s">
        <v>30</v>
      </c>
      <c r="R264">
        <v>1</v>
      </c>
      <c r="S264" t="s">
        <v>31</v>
      </c>
      <c r="T264" t="s">
        <v>679</v>
      </c>
      <c r="U264" s="1">
        <v>-254511959</v>
      </c>
      <c r="V264" s="1">
        <v>-492291164</v>
      </c>
      <c r="W264" t="s">
        <v>680</v>
      </c>
      <c r="X264">
        <v>1</v>
      </c>
      <c r="Y264" t="s">
        <v>34</v>
      </c>
    </row>
    <row r="265" spans="1:25" x14ac:dyDescent="0.3">
      <c r="A265">
        <v>264</v>
      </c>
      <c r="B265">
        <v>264</v>
      </c>
      <c r="C265">
        <v>8629126000131</v>
      </c>
      <c r="D265">
        <v>22</v>
      </c>
      <c r="E265" t="s">
        <v>1593</v>
      </c>
      <c r="F265">
        <v>22</v>
      </c>
      <c r="G265" t="s">
        <v>1630</v>
      </c>
      <c r="H265" t="str">
        <f t="shared" si="4"/>
        <v>REDE 22 - BANDEIRA 22 - LOJA 264</v>
      </c>
      <c r="I265">
        <v>1</v>
      </c>
      <c r="J265" t="s">
        <v>26</v>
      </c>
      <c r="K265">
        <v>2</v>
      </c>
      <c r="L265" t="s">
        <v>681</v>
      </c>
      <c r="M265">
        <v>2</v>
      </c>
      <c r="N265" t="s">
        <v>36</v>
      </c>
      <c r="O265">
        <v>2</v>
      </c>
      <c r="P265" t="s">
        <v>37</v>
      </c>
      <c r="Q265" t="s">
        <v>38</v>
      </c>
      <c r="R265">
        <v>2</v>
      </c>
      <c r="S265" t="s">
        <v>39</v>
      </c>
      <c r="T265" t="s">
        <v>682</v>
      </c>
      <c r="U265" s="1">
        <v>-235442253</v>
      </c>
      <c r="V265" s="1">
        <v>-465637476</v>
      </c>
      <c r="W265" t="s">
        <v>683</v>
      </c>
      <c r="X265">
        <v>1</v>
      </c>
      <c r="Y265" t="s">
        <v>34</v>
      </c>
    </row>
    <row r="266" spans="1:25" x14ac:dyDescent="0.3">
      <c r="A266">
        <v>265</v>
      </c>
      <c r="B266">
        <v>265</v>
      </c>
      <c r="C266">
        <v>8655084000103</v>
      </c>
      <c r="D266">
        <v>22</v>
      </c>
      <c r="E266" t="s">
        <v>1593</v>
      </c>
      <c r="F266">
        <v>22</v>
      </c>
      <c r="G266" t="s">
        <v>1630</v>
      </c>
      <c r="H266" t="str">
        <f t="shared" si="4"/>
        <v>REDE 22 - BANDEIRA 22 - LOJA 265</v>
      </c>
      <c r="I266">
        <v>1</v>
      </c>
      <c r="J266" t="s">
        <v>26</v>
      </c>
      <c r="K266">
        <v>2</v>
      </c>
      <c r="L266" t="s">
        <v>684</v>
      </c>
      <c r="M266">
        <v>2</v>
      </c>
      <c r="N266" t="s">
        <v>36</v>
      </c>
      <c r="O266">
        <v>2</v>
      </c>
      <c r="P266" t="s">
        <v>37</v>
      </c>
      <c r="Q266" t="s">
        <v>38</v>
      </c>
      <c r="R266">
        <v>2</v>
      </c>
      <c r="S266" t="s">
        <v>39</v>
      </c>
      <c r="T266" t="s">
        <v>440</v>
      </c>
      <c r="U266" s="1">
        <v>-234995624</v>
      </c>
      <c r="V266" s="1">
        <v>-466376628</v>
      </c>
      <c r="W266" t="s">
        <v>540</v>
      </c>
      <c r="X266">
        <v>1</v>
      </c>
      <c r="Y266" t="s">
        <v>34</v>
      </c>
    </row>
    <row r="267" spans="1:25" x14ac:dyDescent="0.3">
      <c r="A267">
        <v>266</v>
      </c>
      <c r="B267">
        <v>266</v>
      </c>
      <c r="C267">
        <v>12231448000103</v>
      </c>
      <c r="D267">
        <v>22</v>
      </c>
      <c r="E267" t="s">
        <v>1593</v>
      </c>
      <c r="F267">
        <v>22</v>
      </c>
      <c r="G267" t="s">
        <v>1630</v>
      </c>
      <c r="H267" t="str">
        <f t="shared" si="4"/>
        <v>REDE 22 - BANDEIRA 22 - LOJA 266</v>
      </c>
      <c r="I267">
        <v>1</v>
      </c>
      <c r="J267" t="s">
        <v>26</v>
      </c>
      <c r="K267">
        <v>2</v>
      </c>
      <c r="L267" t="s">
        <v>685</v>
      </c>
      <c r="M267">
        <v>2</v>
      </c>
      <c r="N267" t="s">
        <v>36</v>
      </c>
      <c r="O267">
        <v>2</v>
      </c>
      <c r="P267" t="s">
        <v>37</v>
      </c>
      <c r="Q267" t="s">
        <v>38</v>
      </c>
      <c r="R267">
        <v>2</v>
      </c>
      <c r="S267" t="s">
        <v>39</v>
      </c>
      <c r="T267" t="s">
        <v>686</v>
      </c>
      <c r="U267" s="1">
        <v>-234673711</v>
      </c>
      <c r="V267" s="1">
        <v>-466310835</v>
      </c>
      <c r="W267" t="s">
        <v>687</v>
      </c>
      <c r="X267">
        <v>1</v>
      </c>
      <c r="Y267" t="s">
        <v>34</v>
      </c>
    </row>
    <row r="268" spans="1:25" x14ac:dyDescent="0.3">
      <c r="A268">
        <v>267</v>
      </c>
      <c r="B268">
        <v>267</v>
      </c>
      <c r="C268">
        <v>19896801000105</v>
      </c>
      <c r="D268">
        <v>23</v>
      </c>
      <c r="E268" t="s">
        <v>1594</v>
      </c>
      <c r="F268">
        <v>23</v>
      </c>
      <c r="G268" t="s">
        <v>1631</v>
      </c>
      <c r="H268" t="str">
        <f t="shared" si="4"/>
        <v>REDE 23 - BANDEIRA 23 - LOJA 267</v>
      </c>
      <c r="I268">
        <v>1</v>
      </c>
      <c r="J268" t="s">
        <v>26</v>
      </c>
      <c r="K268">
        <v>2</v>
      </c>
      <c r="L268" t="s">
        <v>688</v>
      </c>
      <c r="M268">
        <v>4</v>
      </c>
      <c r="N268" t="s">
        <v>60</v>
      </c>
      <c r="O268">
        <v>4</v>
      </c>
      <c r="P268" t="s">
        <v>61</v>
      </c>
      <c r="Q268" t="s">
        <v>62</v>
      </c>
      <c r="R268">
        <v>3</v>
      </c>
      <c r="S268" t="s">
        <v>63</v>
      </c>
      <c r="T268" t="s">
        <v>689</v>
      </c>
      <c r="U268" s="1">
        <v>-158277639</v>
      </c>
      <c r="V268" s="1">
        <v>-479249014</v>
      </c>
      <c r="W268" t="s">
        <v>83</v>
      </c>
      <c r="X268">
        <v>1</v>
      </c>
      <c r="Y268" t="s">
        <v>34</v>
      </c>
    </row>
    <row r="269" spans="1:25" x14ac:dyDescent="0.3">
      <c r="A269">
        <v>268</v>
      </c>
      <c r="B269">
        <v>268</v>
      </c>
      <c r="C269">
        <v>19687310000154</v>
      </c>
      <c r="D269">
        <v>23</v>
      </c>
      <c r="E269" t="s">
        <v>1594</v>
      </c>
      <c r="F269">
        <v>23</v>
      </c>
      <c r="G269" t="s">
        <v>1631</v>
      </c>
      <c r="H269" t="str">
        <f t="shared" si="4"/>
        <v>REDE 23 - BANDEIRA 23 - LOJA 268</v>
      </c>
      <c r="I269">
        <v>1</v>
      </c>
      <c r="J269" t="s">
        <v>26</v>
      </c>
      <c r="K269">
        <v>2</v>
      </c>
      <c r="L269" t="s">
        <v>690</v>
      </c>
      <c r="M269">
        <v>4</v>
      </c>
      <c r="N269" t="s">
        <v>60</v>
      </c>
      <c r="O269">
        <v>4</v>
      </c>
      <c r="P269" t="s">
        <v>61</v>
      </c>
      <c r="Q269" t="s">
        <v>62</v>
      </c>
      <c r="R269">
        <v>3</v>
      </c>
      <c r="S269" t="s">
        <v>63</v>
      </c>
      <c r="T269" t="s">
        <v>691</v>
      </c>
      <c r="U269" s="1">
        <v>-158277639</v>
      </c>
      <c r="V269" s="1">
        <v>-479249014</v>
      </c>
      <c r="W269" t="s">
        <v>65</v>
      </c>
      <c r="X269">
        <v>1</v>
      </c>
      <c r="Y269" t="s">
        <v>34</v>
      </c>
    </row>
    <row r="270" spans="1:25" x14ac:dyDescent="0.3">
      <c r="A270">
        <v>269</v>
      </c>
      <c r="B270">
        <v>269</v>
      </c>
      <c r="C270">
        <v>33770697000139</v>
      </c>
      <c r="D270">
        <v>23</v>
      </c>
      <c r="E270" t="s">
        <v>1594</v>
      </c>
      <c r="F270">
        <v>23</v>
      </c>
      <c r="G270" t="s">
        <v>1631</v>
      </c>
      <c r="H270" t="str">
        <f t="shared" si="4"/>
        <v>REDE 23 - BANDEIRA 23 - LOJA 269</v>
      </c>
      <c r="I270">
        <v>1</v>
      </c>
      <c r="J270" t="s">
        <v>26</v>
      </c>
      <c r="K270">
        <v>2</v>
      </c>
      <c r="L270" t="s">
        <v>692</v>
      </c>
      <c r="M270">
        <v>4</v>
      </c>
      <c r="N270" t="s">
        <v>60</v>
      </c>
      <c r="O270">
        <v>4</v>
      </c>
      <c r="P270" t="s">
        <v>61</v>
      </c>
      <c r="Q270" t="s">
        <v>62</v>
      </c>
      <c r="R270">
        <v>3</v>
      </c>
      <c r="S270" t="s">
        <v>63</v>
      </c>
      <c r="T270" t="s">
        <v>693</v>
      </c>
      <c r="U270" s="1">
        <v>-157786532</v>
      </c>
      <c r="V270" s="1">
        <v>-479942384999999</v>
      </c>
      <c r="W270" t="s">
        <v>65</v>
      </c>
      <c r="X270">
        <v>1</v>
      </c>
      <c r="Y270" t="s">
        <v>34</v>
      </c>
    </row>
    <row r="271" spans="1:25" x14ac:dyDescent="0.3">
      <c r="A271">
        <v>270</v>
      </c>
      <c r="B271">
        <v>270</v>
      </c>
      <c r="C271">
        <v>28614241000140</v>
      </c>
      <c r="D271">
        <v>23</v>
      </c>
      <c r="E271" t="s">
        <v>1594</v>
      </c>
      <c r="F271">
        <v>23</v>
      </c>
      <c r="G271" t="s">
        <v>1631</v>
      </c>
      <c r="H271" t="str">
        <f t="shared" si="4"/>
        <v>REDE 23 - BANDEIRA 23 - LOJA 270</v>
      </c>
      <c r="I271">
        <v>1</v>
      </c>
      <c r="J271" t="s">
        <v>26</v>
      </c>
      <c r="K271">
        <v>2</v>
      </c>
      <c r="L271" t="s">
        <v>694</v>
      </c>
      <c r="M271">
        <v>4</v>
      </c>
      <c r="N271" t="s">
        <v>60</v>
      </c>
      <c r="O271">
        <v>4</v>
      </c>
      <c r="P271" t="s">
        <v>61</v>
      </c>
      <c r="Q271" t="s">
        <v>62</v>
      </c>
      <c r="R271">
        <v>3</v>
      </c>
      <c r="S271" t="s">
        <v>63</v>
      </c>
      <c r="T271" t="s">
        <v>695</v>
      </c>
      <c r="U271" s="1">
        <v>-158277639</v>
      </c>
      <c r="V271" s="1">
        <v>-479249014</v>
      </c>
      <c r="W271" t="s">
        <v>696</v>
      </c>
      <c r="X271">
        <v>1</v>
      </c>
      <c r="Y271" t="s">
        <v>34</v>
      </c>
    </row>
    <row r="272" spans="1:25" x14ac:dyDescent="0.3">
      <c r="A272">
        <v>271</v>
      </c>
      <c r="B272">
        <v>271</v>
      </c>
      <c r="C272">
        <v>39565836000179</v>
      </c>
      <c r="D272">
        <v>23</v>
      </c>
      <c r="E272" t="s">
        <v>1594</v>
      </c>
      <c r="F272">
        <v>23</v>
      </c>
      <c r="G272" t="s">
        <v>1631</v>
      </c>
      <c r="H272" t="str">
        <f t="shared" si="4"/>
        <v>REDE 23 - BANDEIRA 23 - LOJA 271</v>
      </c>
      <c r="I272">
        <v>1</v>
      </c>
      <c r="J272" t="s">
        <v>26</v>
      </c>
      <c r="K272">
        <v>2</v>
      </c>
      <c r="L272" t="s">
        <v>105</v>
      </c>
      <c r="M272">
        <v>4</v>
      </c>
      <c r="N272" t="s">
        <v>60</v>
      </c>
      <c r="O272">
        <v>4</v>
      </c>
      <c r="P272" t="s">
        <v>61</v>
      </c>
      <c r="Q272" t="s">
        <v>62</v>
      </c>
      <c r="R272">
        <v>3</v>
      </c>
      <c r="S272" t="s">
        <v>63</v>
      </c>
      <c r="T272" t="s">
        <v>106</v>
      </c>
      <c r="U272" s="1">
        <v>-15841566</v>
      </c>
      <c r="V272" s="1">
        <v>-48023720</v>
      </c>
      <c r="W272" t="s">
        <v>104</v>
      </c>
      <c r="X272">
        <v>1</v>
      </c>
      <c r="Y272" t="s">
        <v>34</v>
      </c>
    </row>
    <row r="273" spans="1:25" x14ac:dyDescent="0.3">
      <c r="A273">
        <v>272</v>
      </c>
      <c r="B273">
        <v>272</v>
      </c>
      <c r="C273">
        <v>11204855000150</v>
      </c>
      <c r="D273">
        <v>24</v>
      </c>
      <c r="E273" t="s">
        <v>1595</v>
      </c>
      <c r="F273">
        <v>24</v>
      </c>
      <c r="G273" t="s">
        <v>1632</v>
      </c>
      <c r="H273" t="str">
        <f t="shared" si="4"/>
        <v>REDE 24 - BANDEIRA 24 - LOJA 272</v>
      </c>
      <c r="I273">
        <v>1</v>
      </c>
      <c r="J273" t="s">
        <v>26</v>
      </c>
      <c r="K273">
        <v>2</v>
      </c>
      <c r="L273" t="s">
        <v>697</v>
      </c>
      <c r="M273">
        <v>1</v>
      </c>
      <c r="N273" t="s">
        <v>28</v>
      </c>
      <c r="O273">
        <v>1</v>
      </c>
      <c r="P273" t="s">
        <v>29</v>
      </c>
      <c r="Q273" t="s">
        <v>30</v>
      </c>
      <c r="R273">
        <v>1</v>
      </c>
      <c r="S273" t="s">
        <v>31</v>
      </c>
      <c r="T273" t="s">
        <v>243</v>
      </c>
      <c r="U273" s="1">
        <v>-253896618</v>
      </c>
      <c r="V273" s="1">
        <v>-492366472999999</v>
      </c>
      <c r="W273" t="s">
        <v>258</v>
      </c>
      <c r="X273">
        <v>1</v>
      </c>
      <c r="Y273" t="s">
        <v>34</v>
      </c>
    </row>
    <row r="274" spans="1:25" x14ac:dyDescent="0.3">
      <c r="A274">
        <v>273</v>
      </c>
      <c r="B274">
        <v>273</v>
      </c>
      <c r="C274">
        <v>15658468000145</v>
      </c>
      <c r="D274">
        <v>24</v>
      </c>
      <c r="E274" t="s">
        <v>1595</v>
      </c>
      <c r="F274">
        <v>24</v>
      </c>
      <c r="G274" t="s">
        <v>1632</v>
      </c>
      <c r="H274" t="str">
        <f t="shared" si="4"/>
        <v>REDE 24 - BANDEIRA 24 - LOJA 273</v>
      </c>
      <c r="I274">
        <v>1</v>
      </c>
      <c r="J274" t="s">
        <v>26</v>
      </c>
      <c r="K274">
        <v>2</v>
      </c>
      <c r="L274" t="s">
        <v>698</v>
      </c>
      <c r="M274">
        <v>1</v>
      </c>
      <c r="N274" t="s">
        <v>28</v>
      </c>
      <c r="O274">
        <v>1</v>
      </c>
      <c r="P274" t="s">
        <v>29</v>
      </c>
      <c r="Q274" t="s">
        <v>30</v>
      </c>
      <c r="R274">
        <v>1</v>
      </c>
      <c r="S274" t="s">
        <v>31</v>
      </c>
      <c r="T274" t="s">
        <v>614</v>
      </c>
      <c r="U274" s="1">
        <v>-254032615</v>
      </c>
      <c r="V274" s="1">
        <v>-49242452</v>
      </c>
      <c r="W274" t="s">
        <v>244</v>
      </c>
      <c r="X274">
        <v>1</v>
      </c>
      <c r="Y274" t="s">
        <v>34</v>
      </c>
    </row>
    <row r="275" spans="1:25" x14ac:dyDescent="0.3">
      <c r="A275">
        <v>274</v>
      </c>
      <c r="B275">
        <v>274</v>
      </c>
      <c r="C275">
        <v>38437509000179</v>
      </c>
      <c r="D275">
        <v>24</v>
      </c>
      <c r="E275" t="s">
        <v>1595</v>
      </c>
      <c r="F275">
        <v>24</v>
      </c>
      <c r="G275" t="s">
        <v>1632</v>
      </c>
      <c r="H275" t="str">
        <f t="shared" si="4"/>
        <v>REDE 24 - BANDEIRA 24 - LOJA 274</v>
      </c>
      <c r="I275">
        <v>1</v>
      </c>
      <c r="J275" t="s">
        <v>26</v>
      </c>
      <c r="K275">
        <v>2</v>
      </c>
      <c r="L275" t="s">
        <v>699</v>
      </c>
      <c r="M275">
        <v>1</v>
      </c>
      <c r="N275" t="s">
        <v>28</v>
      </c>
      <c r="O275">
        <v>1</v>
      </c>
      <c r="P275" t="s">
        <v>29</v>
      </c>
      <c r="Q275" t="s">
        <v>30</v>
      </c>
      <c r="R275">
        <v>1</v>
      </c>
      <c r="S275" t="s">
        <v>31</v>
      </c>
      <c r="T275" t="s">
        <v>700</v>
      </c>
      <c r="U275" s="1">
        <v>-254814638</v>
      </c>
      <c r="V275" s="1">
        <v>-492635241</v>
      </c>
      <c r="W275" t="s">
        <v>701</v>
      </c>
      <c r="X275">
        <v>1</v>
      </c>
      <c r="Y275" t="s">
        <v>34</v>
      </c>
    </row>
    <row r="276" spans="1:25" x14ac:dyDescent="0.3">
      <c r="A276">
        <v>275</v>
      </c>
      <c r="B276">
        <v>275</v>
      </c>
      <c r="C276">
        <v>39452973000105</v>
      </c>
      <c r="D276">
        <v>24</v>
      </c>
      <c r="E276" t="s">
        <v>1595</v>
      </c>
      <c r="F276">
        <v>24</v>
      </c>
      <c r="G276" t="s">
        <v>1632</v>
      </c>
      <c r="H276" t="str">
        <f t="shared" si="4"/>
        <v>REDE 24 - BANDEIRA 24 - LOJA 275</v>
      </c>
      <c r="I276">
        <v>1</v>
      </c>
      <c r="J276" t="s">
        <v>26</v>
      </c>
      <c r="K276">
        <v>2</v>
      </c>
      <c r="L276" t="s">
        <v>702</v>
      </c>
      <c r="M276">
        <v>1</v>
      </c>
      <c r="N276" t="s">
        <v>28</v>
      </c>
      <c r="O276">
        <v>1</v>
      </c>
      <c r="P276" t="s">
        <v>29</v>
      </c>
      <c r="Q276" t="s">
        <v>30</v>
      </c>
      <c r="R276">
        <v>1</v>
      </c>
      <c r="S276" t="s">
        <v>31</v>
      </c>
      <c r="T276" t="s">
        <v>703</v>
      </c>
      <c r="U276" s="1">
        <v>-254175874</v>
      </c>
      <c r="V276" s="1">
        <v>-492471734</v>
      </c>
      <c r="W276" t="s">
        <v>704</v>
      </c>
      <c r="X276">
        <v>1</v>
      </c>
      <c r="Y276" t="s">
        <v>34</v>
      </c>
    </row>
    <row r="277" spans="1:25" x14ac:dyDescent="0.3">
      <c r="A277">
        <v>276</v>
      </c>
      <c r="B277">
        <v>276</v>
      </c>
      <c r="C277">
        <v>31069632000135</v>
      </c>
      <c r="D277">
        <v>25</v>
      </c>
      <c r="E277" t="s">
        <v>1596</v>
      </c>
      <c r="F277">
        <v>25</v>
      </c>
      <c r="G277" t="s">
        <v>1633</v>
      </c>
      <c r="H277" t="str">
        <f t="shared" si="4"/>
        <v>REDE 25 - BANDEIRA 25 - LOJA 276</v>
      </c>
      <c r="I277">
        <v>1</v>
      </c>
      <c r="J277" t="s">
        <v>26</v>
      </c>
      <c r="K277">
        <v>1</v>
      </c>
      <c r="L277" t="s">
        <v>705</v>
      </c>
      <c r="M277">
        <v>1</v>
      </c>
      <c r="N277" t="s">
        <v>28</v>
      </c>
      <c r="O277">
        <v>1</v>
      </c>
      <c r="P277" t="s">
        <v>29</v>
      </c>
      <c r="Q277" t="s">
        <v>30</v>
      </c>
      <c r="R277">
        <v>1</v>
      </c>
      <c r="S277" t="s">
        <v>31</v>
      </c>
      <c r="T277" t="s">
        <v>706</v>
      </c>
      <c r="U277" s="1">
        <v>-254456814</v>
      </c>
      <c r="V277" s="1">
        <v>-492776941</v>
      </c>
      <c r="W277" t="s">
        <v>33</v>
      </c>
      <c r="X277">
        <v>1</v>
      </c>
      <c r="Y277" t="s">
        <v>34</v>
      </c>
    </row>
    <row r="278" spans="1:25" x14ac:dyDescent="0.3">
      <c r="A278">
        <v>277</v>
      </c>
      <c r="B278">
        <v>277</v>
      </c>
      <c r="C278">
        <v>954224000213</v>
      </c>
      <c r="D278">
        <v>25</v>
      </c>
      <c r="E278" t="s">
        <v>1596</v>
      </c>
      <c r="F278">
        <v>25</v>
      </c>
      <c r="G278" t="s">
        <v>1633</v>
      </c>
      <c r="H278" t="str">
        <f t="shared" si="4"/>
        <v>REDE 25 - BANDEIRA 25 - LOJA 277</v>
      </c>
      <c r="I278">
        <v>1</v>
      </c>
      <c r="J278" t="s">
        <v>26</v>
      </c>
      <c r="K278">
        <v>1</v>
      </c>
      <c r="L278" t="s">
        <v>707</v>
      </c>
      <c r="M278">
        <v>6</v>
      </c>
      <c r="N278" t="s">
        <v>236</v>
      </c>
      <c r="O278">
        <v>5</v>
      </c>
      <c r="P278" t="s">
        <v>237</v>
      </c>
      <c r="Q278" t="s">
        <v>238</v>
      </c>
      <c r="R278">
        <v>4</v>
      </c>
      <c r="S278" t="s">
        <v>239</v>
      </c>
      <c r="T278" t="s">
        <v>708</v>
      </c>
      <c r="U278" s="1">
        <v>-37432389</v>
      </c>
      <c r="V278" s="1">
        <v>-38486676</v>
      </c>
      <c r="W278" t="s">
        <v>386</v>
      </c>
      <c r="X278">
        <v>1</v>
      </c>
      <c r="Y278" t="s">
        <v>34</v>
      </c>
    </row>
    <row r="279" spans="1:25" x14ac:dyDescent="0.3">
      <c r="A279">
        <v>278</v>
      </c>
      <c r="B279">
        <v>278</v>
      </c>
      <c r="C279">
        <v>954224000132</v>
      </c>
      <c r="D279">
        <v>25</v>
      </c>
      <c r="E279" t="s">
        <v>1596</v>
      </c>
      <c r="F279">
        <v>25</v>
      </c>
      <c r="G279" t="s">
        <v>1633</v>
      </c>
      <c r="H279" t="str">
        <f t="shared" si="4"/>
        <v>REDE 25 - BANDEIRA 25 - LOJA 278</v>
      </c>
      <c r="I279">
        <v>1</v>
      </c>
      <c r="J279" t="s">
        <v>26</v>
      </c>
      <c r="K279">
        <v>1</v>
      </c>
      <c r="L279" t="s">
        <v>709</v>
      </c>
      <c r="M279">
        <v>6</v>
      </c>
      <c r="N279" t="s">
        <v>236</v>
      </c>
      <c r="O279">
        <v>5</v>
      </c>
      <c r="P279" t="s">
        <v>237</v>
      </c>
      <c r="Q279" t="s">
        <v>238</v>
      </c>
      <c r="R279">
        <v>4</v>
      </c>
      <c r="S279" t="s">
        <v>239</v>
      </c>
      <c r="T279" t="s">
        <v>301</v>
      </c>
      <c r="U279" s="1">
        <v>-37365947</v>
      </c>
      <c r="V279" s="1">
        <v>-38498324</v>
      </c>
      <c r="W279" t="s">
        <v>302</v>
      </c>
      <c r="X279">
        <v>1</v>
      </c>
      <c r="Y279" t="s">
        <v>34</v>
      </c>
    </row>
    <row r="280" spans="1:25" x14ac:dyDescent="0.3">
      <c r="A280">
        <v>279</v>
      </c>
      <c r="B280">
        <v>279</v>
      </c>
      <c r="C280">
        <v>954224000809</v>
      </c>
      <c r="D280">
        <v>25</v>
      </c>
      <c r="E280" t="s">
        <v>1596</v>
      </c>
      <c r="F280">
        <v>25</v>
      </c>
      <c r="G280" t="s">
        <v>1633</v>
      </c>
      <c r="H280" t="str">
        <f t="shared" si="4"/>
        <v>REDE 25 - BANDEIRA 25 - LOJA 279</v>
      </c>
      <c r="I280">
        <v>1</v>
      </c>
      <c r="J280" t="s">
        <v>26</v>
      </c>
      <c r="K280">
        <v>1</v>
      </c>
      <c r="L280" t="s">
        <v>710</v>
      </c>
      <c r="M280">
        <v>6</v>
      </c>
      <c r="N280" t="s">
        <v>236</v>
      </c>
      <c r="O280">
        <v>5</v>
      </c>
      <c r="P280" t="s">
        <v>237</v>
      </c>
      <c r="Q280" t="s">
        <v>238</v>
      </c>
      <c r="R280">
        <v>4</v>
      </c>
      <c r="S280" t="s">
        <v>239</v>
      </c>
      <c r="T280" t="s">
        <v>711</v>
      </c>
      <c r="U280" s="1">
        <v>-373282479999999</v>
      </c>
      <c r="V280" s="1">
        <v>-385299513</v>
      </c>
      <c r="W280" t="s">
        <v>221</v>
      </c>
      <c r="X280">
        <v>1</v>
      </c>
      <c r="Y280" t="s">
        <v>34</v>
      </c>
    </row>
    <row r="281" spans="1:25" x14ac:dyDescent="0.3">
      <c r="A281">
        <v>280</v>
      </c>
      <c r="B281">
        <v>280</v>
      </c>
      <c r="C281">
        <v>12245435000185</v>
      </c>
      <c r="D281">
        <v>25</v>
      </c>
      <c r="E281" t="s">
        <v>1596</v>
      </c>
      <c r="F281">
        <v>25</v>
      </c>
      <c r="G281" t="s">
        <v>1633</v>
      </c>
      <c r="H281" t="str">
        <f t="shared" si="4"/>
        <v>REDE 25 - BANDEIRA 25 - LOJA 280</v>
      </c>
      <c r="I281">
        <v>1</v>
      </c>
      <c r="J281" t="s">
        <v>26</v>
      </c>
      <c r="K281">
        <v>1</v>
      </c>
      <c r="L281" t="s">
        <v>712</v>
      </c>
      <c r="M281">
        <v>3</v>
      </c>
      <c r="N281" t="s">
        <v>43</v>
      </c>
      <c r="O281">
        <v>3</v>
      </c>
      <c r="P281" t="s">
        <v>44</v>
      </c>
      <c r="Q281" t="s">
        <v>43</v>
      </c>
      <c r="R281">
        <v>2</v>
      </c>
      <c r="S281" t="s">
        <v>39</v>
      </c>
      <c r="T281" t="s">
        <v>713</v>
      </c>
      <c r="U281" s="1">
        <v>-229320299</v>
      </c>
      <c r="V281" s="1">
        <v>-432404582</v>
      </c>
      <c r="W281" t="s">
        <v>200</v>
      </c>
      <c r="X281">
        <v>1</v>
      </c>
      <c r="Y281" t="s">
        <v>34</v>
      </c>
    </row>
    <row r="282" spans="1:25" x14ac:dyDescent="0.3">
      <c r="A282">
        <v>281</v>
      </c>
      <c r="B282">
        <v>281</v>
      </c>
      <c r="C282">
        <v>33440084000133</v>
      </c>
      <c r="D282">
        <v>25</v>
      </c>
      <c r="E282" t="s">
        <v>1596</v>
      </c>
      <c r="F282">
        <v>25</v>
      </c>
      <c r="G282" t="s">
        <v>1633</v>
      </c>
      <c r="H282" t="str">
        <f t="shared" si="4"/>
        <v>REDE 25 - BANDEIRA 25 - LOJA 281</v>
      </c>
      <c r="I282">
        <v>1</v>
      </c>
      <c r="J282" t="s">
        <v>26</v>
      </c>
      <c r="K282">
        <v>1</v>
      </c>
      <c r="L282" t="s">
        <v>714</v>
      </c>
      <c r="M282">
        <v>1</v>
      </c>
      <c r="N282" t="s">
        <v>28</v>
      </c>
      <c r="O282">
        <v>1</v>
      </c>
      <c r="P282" t="s">
        <v>29</v>
      </c>
      <c r="Q282" t="s">
        <v>30</v>
      </c>
      <c r="R282">
        <v>1</v>
      </c>
      <c r="S282" t="s">
        <v>31</v>
      </c>
      <c r="T282" t="s">
        <v>715</v>
      </c>
      <c r="U282" s="1">
        <v>-254371044</v>
      </c>
      <c r="V282" s="1">
        <v>-492412647</v>
      </c>
      <c r="W282" t="s">
        <v>261</v>
      </c>
      <c r="X282">
        <v>0</v>
      </c>
      <c r="Y282" t="s">
        <v>46</v>
      </c>
    </row>
    <row r="283" spans="1:25" x14ac:dyDescent="0.3">
      <c r="A283">
        <v>282</v>
      </c>
      <c r="B283">
        <v>282</v>
      </c>
      <c r="C283">
        <v>954224001619</v>
      </c>
      <c r="D283">
        <v>25</v>
      </c>
      <c r="E283" t="s">
        <v>1596</v>
      </c>
      <c r="F283">
        <v>25</v>
      </c>
      <c r="G283" t="s">
        <v>1633</v>
      </c>
      <c r="H283" t="str">
        <f t="shared" si="4"/>
        <v>REDE 25 - BANDEIRA 25 - LOJA 282</v>
      </c>
      <c r="I283">
        <v>1</v>
      </c>
      <c r="J283" t="s">
        <v>26</v>
      </c>
      <c r="K283">
        <v>1</v>
      </c>
      <c r="L283" t="s">
        <v>716</v>
      </c>
      <c r="M283">
        <v>6</v>
      </c>
      <c r="N283" t="s">
        <v>236</v>
      </c>
      <c r="O283">
        <v>5</v>
      </c>
      <c r="P283" t="s">
        <v>237</v>
      </c>
      <c r="Q283" t="s">
        <v>238</v>
      </c>
      <c r="R283">
        <v>4</v>
      </c>
      <c r="S283" t="s">
        <v>239</v>
      </c>
      <c r="T283" t="s">
        <v>717</v>
      </c>
      <c r="U283" s="1">
        <v>-37363858</v>
      </c>
      <c r="V283" s="1">
        <v>-384965613</v>
      </c>
      <c r="W283" t="s">
        <v>302</v>
      </c>
      <c r="X283">
        <v>1</v>
      </c>
      <c r="Y283" t="s">
        <v>34</v>
      </c>
    </row>
    <row r="284" spans="1:25" x14ac:dyDescent="0.3">
      <c r="A284">
        <v>283</v>
      </c>
      <c r="B284">
        <v>283</v>
      </c>
      <c r="C284">
        <v>4329754000140</v>
      </c>
      <c r="D284">
        <v>25</v>
      </c>
      <c r="E284" t="s">
        <v>1596</v>
      </c>
      <c r="F284">
        <v>25</v>
      </c>
      <c r="G284" t="s">
        <v>1633</v>
      </c>
      <c r="H284" t="str">
        <f t="shared" si="4"/>
        <v>REDE 25 - BANDEIRA 25 - LOJA 283</v>
      </c>
      <c r="I284">
        <v>1</v>
      </c>
      <c r="J284" t="s">
        <v>26</v>
      </c>
      <c r="K284">
        <v>1</v>
      </c>
      <c r="L284" t="s">
        <v>718</v>
      </c>
      <c r="M284">
        <v>3</v>
      </c>
      <c r="N284" t="s">
        <v>43</v>
      </c>
      <c r="O284">
        <v>3</v>
      </c>
      <c r="P284" t="s">
        <v>44</v>
      </c>
      <c r="Q284" t="s">
        <v>43</v>
      </c>
      <c r="R284">
        <v>2</v>
      </c>
      <c r="S284" t="s">
        <v>39</v>
      </c>
      <c r="T284" t="s">
        <v>719</v>
      </c>
      <c r="U284" s="1">
        <v>-229372625</v>
      </c>
      <c r="V284" s="1">
        <v>-431777823</v>
      </c>
      <c r="W284" t="s">
        <v>720</v>
      </c>
      <c r="X284">
        <v>1</v>
      </c>
      <c r="Y284" t="s">
        <v>34</v>
      </c>
    </row>
    <row r="285" spans="1:25" x14ac:dyDescent="0.3">
      <c r="A285">
        <v>284</v>
      </c>
      <c r="B285">
        <v>284</v>
      </c>
      <c r="C285">
        <v>3380658000164</v>
      </c>
      <c r="D285">
        <v>25</v>
      </c>
      <c r="E285" t="s">
        <v>1596</v>
      </c>
      <c r="F285">
        <v>25</v>
      </c>
      <c r="G285" t="s">
        <v>1633</v>
      </c>
      <c r="H285" t="str">
        <f t="shared" si="4"/>
        <v>REDE 25 - BANDEIRA 25 - LOJA 284</v>
      </c>
      <c r="I285">
        <v>1</v>
      </c>
      <c r="J285" t="s">
        <v>26</v>
      </c>
      <c r="K285">
        <v>1</v>
      </c>
      <c r="L285" t="s">
        <v>721</v>
      </c>
      <c r="M285">
        <v>3</v>
      </c>
      <c r="N285" t="s">
        <v>43</v>
      </c>
      <c r="O285">
        <v>3</v>
      </c>
      <c r="P285" t="s">
        <v>44</v>
      </c>
      <c r="Q285" t="s">
        <v>43</v>
      </c>
      <c r="R285">
        <v>2</v>
      </c>
      <c r="S285" t="s">
        <v>39</v>
      </c>
      <c r="T285" t="s">
        <v>722</v>
      </c>
      <c r="U285" s="1">
        <v>-229399862</v>
      </c>
      <c r="V285" s="1">
        <v>-433426671</v>
      </c>
      <c r="W285" t="s">
        <v>723</v>
      </c>
      <c r="X285">
        <v>1</v>
      </c>
      <c r="Y285" t="s">
        <v>34</v>
      </c>
    </row>
    <row r="286" spans="1:25" x14ac:dyDescent="0.3">
      <c r="A286">
        <v>285</v>
      </c>
      <c r="B286">
        <v>285</v>
      </c>
      <c r="C286">
        <v>954224001376</v>
      </c>
      <c r="D286">
        <v>25</v>
      </c>
      <c r="E286" t="s">
        <v>1596</v>
      </c>
      <c r="F286">
        <v>25</v>
      </c>
      <c r="G286" t="s">
        <v>1633</v>
      </c>
      <c r="H286" t="str">
        <f t="shared" si="4"/>
        <v>REDE 25 - BANDEIRA 25 - LOJA 285</v>
      </c>
      <c r="I286">
        <v>1</v>
      </c>
      <c r="J286" t="s">
        <v>26</v>
      </c>
      <c r="K286">
        <v>1</v>
      </c>
      <c r="L286" t="s">
        <v>724</v>
      </c>
      <c r="M286">
        <v>6</v>
      </c>
      <c r="N286" t="s">
        <v>236</v>
      </c>
      <c r="O286">
        <v>5</v>
      </c>
      <c r="P286" t="s">
        <v>237</v>
      </c>
      <c r="Q286" t="s">
        <v>238</v>
      </c>
      <c r="R286">
        <v>4</v>
      </c>
      <c r="S286" t="s">
        <v>239</v>
      </c>
      <c r="T286" t="s">
        <v>316</v>
      </c>
      <c r="U286" s="1">
        <v>-38183845</v>
      </c>
      <c r="V286" s="1">
        <v>-384978857</v>
      </c>
      <c r="W286" t="s">
        <v>725</v>
      </c>
      <c r="X286">
        <v>1</v>
      </c>
      <c r="Y286" t="s">
        <v>34</v>
      </c>
    </row>
    <row r="287" spans="1:25" x14ac:dyDescent="0.3">
      <c r="A287">
        <v>286</v>
      </c>
      <c r="B287">
        <v>286</v>
      </c>
      <c r="C287">
        <v>30875295000100</v>
      </c>
      <c r="D287">
        <v>25</v>
      </c>
      <c r="E287" t="s">
        <v>1596</v>
      </c>
      <c r="F287">
        <v>25</v>
      </c>
      <c r="G287" t="s">
        <v>1633</v>
      </c>
      <c r="H287" t="str">
        <f t="shared" si="4"/>
        <v>REDE 25 - BANDEIRA 25 - LOJA 286</v>
      </c>
      <c r="I287">
        <v>1</v>
      </c>
      <c r="J287" t="s">
        <v>26</v>
      </c>
      <c r="K287">
        <v>1</v>
      </c>
      <c r="L287" t="s">
        <v>726</v>
      </c>
      <c r="M287">
        <v>3</v>
      </c>
      <c r="N287" t="s">
        <v>43</v>
      </c>
      <c r="O287">
        <v>3</v>
      </c>
      <c r="P287" t="s">
        <v>44</v>
      </c>
      <c r="Q287" t="s">
        <v>43</v>
      </c>
      <c r="R287">
        <v>2</v>
      </c>
      <c r="S287" t="s">
        <v>39</v>
      </c>
      <c r="T287" t="s">
        <v>727</v>
      </c>
      <c r="U287" s="1">
        <v>-228048537</v>
      </c>
      <c r="V287" s="1">
        <v>-432089188</v>
      </c>
      <c r="W287" t="s">
        <v>728</v>
      </c>
      <c r="X287">
        <v>1</v>
      </c>
      <c r="Y287" t="s">
        <v>34</v>
      </c>
    </row>
    <row r="288" spans="1:25" x14ac:dyDescent="0.3">
      <c r="A288">
        <v>287</v>
      </c>
      <c r="B288">
        <v>287</v>
      </c>
      <c r="C288">
        <v>954224000728</v>
      </c>
      <c r="D288">
        <v>25</v>
      </c>
      <c r="E288" t="s">
        <v>1596</v>
      </c>
      <c r="F288">
        <v>25</v>
      </c>
      <c r="G288" t="s">
        <v>1633</v>
      </c>
      <c r="H288" t="str">
        <f t="shared" si="4"/>
        <v>REDE 25 - BANDEIRA 25 - LOJA 287</v>
      </c>
      <c r="I288">
        <v>1</v>
      </c>
      <c r="J288" t="s">
        <v>26</v>
      </c>
      <c r="K288">
        <v>1</v>
      </c>
      <c r="L288" t="s">
        <v>729</v>
      </c>
      <c r="M288">
        <v>6</v>
      </c>
      <c r="N288" t="s">
        <v>236</v>
      </c>
      <c r="O288">
        <v>5</v>
      </c>
      <c r="P288" t="s">
        <v>237</v>
      </c>
      <c r="Q288" t="s">
        <v>238</v>
      </c>
      <c r="R288">
        <v>4</v>
      </c>
      <c r="S288" t="s">
        <v>239</v>
      </c>
      <c r="T288" t="s">
        <v>730</v>
      </c>
      <c r="U288" s="1">
        <v>-37350579</v>
      </c>
      <c r="V288" s="1">
        <v>-385660305</v>
      </c>
      <c r="W288" t="s">
        <v>331</v>
      </c>
      <c r="X288">
        <v>1</v>
      </c>
      <c r="Y288" t="s">
        <v>34</v>
      </c>
    </row>
    <row r="289" spans="1:25" x14ac:dyDescent="0.3">
      <c r="A289">
        <v>288</v>
      </c>
      <c r="B289">
        <v>288</v>
      </c>
      <c r="C289">
        <v>954224000485</v>
      </c>
      <c r="D289">
        <v>25</v>
      </c>
      <c r="E289" t="s">
        <v>1596</v>
      </c>
      <c r="F289">
        <v>25</v>
      </c>
      <c r="G289" t="s">
        <v>1633</v>
      </c>
      <c r="H289" t="str">
        <f t="shared" si="4"/>
        <v>REDE 25 - BANDEIRA 25 - LOJA 288</v>
      </c>
      <c r="I289">
        <v>1</v>
      </c>
      <c r="J289" t="s">
        <v>26</v>
      </c>
      <c r="K289">
        <v>1</v>
      </c>
      <c r="L289" t="s">
        <v>731</v>
      </c>
      <c r="M289">
        <v>6</v>
      </c>
      <c r="N289" t="s">
        <v>236</v>
      </c>
      <c r="O289">
        <v>5</v>
      </c>
      <c r="P289" t="s">
        <v>237</v>
      </c>
      <c r="Q289" t="s">
        <v>238</v>
      </c>
      <c r="R289">
        <v>4</v>
      </c>
      <c r="S289" t="s">
        <v>239</v>
      </c>
      <c r="T289" t="s">
        <v>732</v>
      </c>
      <c r="U289" s="1">
        <v>-37647341</v>
      </c>
      <c r="V289" s="1">
        <v>-385744554</v>
      </c>
      <c r="W289" t="s">
        <v>733</v>
      </c>
      <c r="X289">
        <v>1</v>
      </c>
      <c r="Y289" t="s">
        <v>34</v>
      </c>
    </row>
    <row r="290" spans="1:25" x14ac:dyDescent="0.3">
      <c r="A290">
        <v>289</v>
      </c>
      <c r="B290">
        <v>289</v>
      </c>
      <c r="C290">
        <v>954224001295</v>
      </c>
      <c r="D290">
        <v>25</v>
      </c>
      <c r="E290" t="s">
        <v>1596</v>
      </c>
      <c r="F290">
        <v>25</v>
      </c>
      <c r="G290" t="s">
        <v>1633</v>
      </c>
      <c r="H290" t="str">
        <f t="shared" si="4"/>
        <v>REDE 25 - BANDEIRA 25 - LOJA 289</v>
      </c>
      <c r="I290">
        <v>1</v>
      </c>
      <c r="J290" t="s">
        <v>26</v>
      </c>
      <c r="K290">
        <v>1</v>
      </c>
      <c r="L290" t="s">
        <v>734</v>
      </c>
      <c r="M290">
        <v>8</v>
      </c>
      <c r="N290" t="s">
        <v>322</v>
      </c>
      <c r="O290">
        <v>5</v>
      </c>
      <c r="P290" t="s">
        <v>237</v>
      </c>
      <c r="Q290" t="s">
        <v>238</v>
      </c>
      <c r="R290">
        <v>4</v>
      </c>
      <c r="S290" t="s">
        <v>239</v>
      </c>
      <c r="T290" t="s">
        <v>735</v>
      </c>
      <c r="U290" s="1">
        <v>-38805132</v>
      </c>
      <c r="V290" s="1">
        <v>-386219978</v>
      </c>
      <c r="W290" t="s">
        <v>736</v>
      </c>
      <c r="X290">
        <v>1</v>
      </c>
      <c r="Y290" t="s">
        <v>34</v>
      </c>
    </row>
    <row r="291" spans="1:25" x14ac:dyDescent="0.3">
      <c r="A291">
        <v>290</v>
      </c>
      <c r="B291">
        <v>290</v>
      </c>
      <c r="C291">
        <v>17249422000106</v>
      </c>
      <c r="D291">
        <v>25</v>
      </c>
      <c r="E291" t="s">
        <v>1596</v>
      </c>
      <c r="F291">
        <v>25</v>
      </c>
      <c r="G291" t="s">
        <v>1633</v>
      </c>
      <c r="H291" t="str">
        <f t="shared" si="4"/>
        <v>REDE 25 - BANDEIRA 25 - LOJA 290</v>
      </c>
      <c r="I291">
        <v>1</v>
      </c>
      <c r="J291" t="s">
        <v>26</v>
      </c>
      <c r="K291">
        <v>1</v>
      </c>
      <c r="L291" t="s">
        <v>737</v>
      </c>
      <c r="M291">
        <v>3</v>
      </c>
      <c r="N291" t="s">
        <v>43</v>
      </c>
      <c r="O291">
        <v>3</v>
      </c>
      <c r="P291" t="s">
        <v>44</v>
      </c>
      <c r="Q291" t="s">
        <v>43</v>
      </c>
      <c r="R291">
        <v>2</v>
      </c>
      <c r="S291" t="s">
        <v>39</v>
      </c>
      <c r="T291" t="s">
        <v>738</v>
      </c>
      <c r="U291" s="1">
        <v>-229702546</v>
      </c>
      <c r="V291" s="1">
        <v>-431862358</v>
      </c>
      <c r="W291" t="s">
        <v>135</v>
      </c>
      <c r="X291">
        <v>1</v>
      </c>
      <c r="Y291" t="s">
        <v>34</v>
      </c>
    </row>
    <row r="292" spans="1:25" x14ac:dyDescent="0.3">
      <c r="A292">
        <v>291</v>
      </c>
      <c r="B292">
        <v>291</v>
      </c>
      <c r="C292">
        <v>9240918000182</v>
      </c>
      <c r="D292">
        <v>25</v>
      </c>
      <c r="E292" t="s">
        <v>1596</v>
      </c>
      <c r="F292">
        <v>25</v>
      </c>
      <c r="G292" t="s">
        <v>1633</v>
      </c>
      <c r="H292" t="str">
        <f t="shared" si="4"/>
        <v>REDE 25 - BANDEIRA 25 - LOJA 291</v>
      </c>
      <c r="I292">
        <v>1</v>
      </c>
      <c r="J292" t="s">
        <v>26</v>
      </c>
      <c r="K292">
        <v>1</v>
      </c>
      <c r="L292" t="s">
        <v>739</v>
      </c>
      <c r="M292">
        <v>3</v>
      </c>
      <c r="N292" t="s">
        <v>43</v>
      </c>
      <c r="O292">
        <v>3</v>
      </c>
      <c r="P292" t="s">
        <v>44</v>
      </c>
      <c r="Q292" t="s">
        <v>43</v>
      </c>
      <c r="R292">
        <v>2</v>
      </c>
      <c r="S292" t="s">
        <v>39</v>
      </c>
      <c r="T292" t="s">
        <v>740</v>
      </c>
      <c r="U292" s="1">
        <v>-229254558</v>
      </c>
      <c r="V292" s="1">
        <v>-432341331</v>
      </c>
      <c r="W292" t="s">
        <v>200</v>
      </c>
      <c r="X292">
        <v>1</v>
      </c>
      <c r="Y292" t="s">
        <v>34</v>
      </c>
    </row>
    <row r="293" spans="1:25" x14ac:dyDescent="0.3">
      <c r="A293">
        <v>292</v>
      </c>
      <c r="B293">
        <v>292</v>
      </c>
      <c r="C293">
        <v>43395274000130</v>
      </c>
      <c r="D293">
        <v>25</v>
      </c>
      <c r="E293" t="s">
        <v>1596</v>
      </c>
      <c r="F293">
        <v>25</v>
      </c>
      <c r="G293" t="s">
        <v>1633</v>
      </c>
      <c r="H293" t="str">
        <f t="shared" si="4"/>
        <v>REDE 25 - BANDEIRA 25 - LOJA 292</v>
      </c>
      <c r="I293">
        <v>1</v>
      </c>
      <c r="J293" t="s">
        <v>26</v>
      </c>
      <c r="K293">
        <v>1</v>
      </c>
      <c r="L293" t="s">
        <v>741</v>
      </c>
      <c r="M293">
        <v>3</v>
      </c>
      <c r="N293" t="s">
        <v>43</v>
      </c>
      <c r="O293">
        <v>3</v>
      </c>
      <c r="P293" t="s">
        <v>44</v>
      </c>
      <c r="Q293" t="s">
        <v>43</v>
      </c>
      <c r="R293">
        <v>2</v>
      </c>
      <c r="S293" t="s">
        <v>39</v>
      </c>
      <c r="T293" t="s">
        <v>742</v>
      </c>
      <c r="U293" s="1">
        <v>-229040614</v>
      </c>
      <c r="V293" s="1">
        <v>-431768068</v>
      </c>
      <c r="W293" t="s">
        <v>221</v>
      </c>
      <c r="X293">
        <v>1</v>
      </c>
      <c r="Y293" t="s">
        <v>34</v>
      </c>
    </row>
    <row r="294" spans="1:25" x14ac:dyDescent="0.3">
      <c r="A294">
        <v>293</v>
      </c>
      <c r="B294">
        <v>293</v>
      </c>
      <c r="C294">
        <v>954224001023</v>
      </c>
      <c r="D294">
        <v>25</v>
      </c>
      <c r="E294" t="s">
        <v>1596</v>
      </c>
      <c r="F294">
        <v>25</v>
      </c>
      <c r="G294" t="s">
        <v>1633</v>
      </c>
      <c r="H294" t="str">
        <f t="shared" si="4"/>
        <v>REDE 25 - BANDEIRA 25 - LOJA 293</v>
      </c>
      <c r="I294">
        <v>1</v>
      </c>
      <c r="J294" t="s">
        <v>26</v>
      </c>
      <c r="K294">
        <v>1</v>
      </c>
      <c r="L294" t="s">
        <v>743</v>
      </c>
      <c r="M294">
        <v>6</v>
      </c>
      <c r="N294" t="s">
        <v>236</v>
      </c>
      <c r="O294">
        <v>5</v>
      </c>
      <c r="P294" t="s">
        <v>237</v>
      </c>
      <c r="Q294" t="s">
        <v>238</v>
      </c>
      <c r="R294">
        <v>4</v>
      </c>
      <c r="S294" t="s">
        <v>239</v>
      </c>
      <c r="T294" t="s">
        <v>744</v>
      </c>
      <c r="U294" s="1">
        <v>-3739102</v>
      </c>
      <c r="V294" s="1">
        <v>-38540176</v>
      </c>
      <c r="W294" t="s">
        <v>745</v>
      </c>
      <c r="X294">
        <v>1</v>
      </c>
      <c r="Y294" t="s">
        <v>34</v>
      </c>
    </row>
    <row r="295" spans="1:25" x14ac:dyDescent="0.3">
      <c r="A295">
        <v>294</v>
      </c>
      <c r="B295">
        <v>294</v>
      </c>
      <c r="C295">
        <v>954224001104</v>
      </c>
      <c r="D295">
        <v>25</v>
      </c>
      <c r="E295" t="s">
        <v>1596</v>
      </c>
      <c r="F295">
        <v>25</v>
      </c>
      <c r="G295" t="s">
        <v>1633</v>
      </c>
      <c r="H295" t="str">
        <f t="shared" si="4"/>
        <v>REDE 25 - BANDEIRA 25 - LOJA 294</v>
      </c>
      <c r="I295">
        <v>1</v>
      </c>
      <c r="J295" t="s">
        <v>26</v>
      </c>
      <c r="K295">
        <v>1</v>
      </c>
      <c r="L295" t="s">
        <v>312</v>
      </c>
      <c r="M295">
        <v>6</v>
      </c>
      <c r="N295" t="s">
        <v>236</v>
      </c>
      <c r="O295">
        <v>5</v>
      </c>
      <c r="P295" t="s">
        <v>237</v>
      </c>
      <c r="Q295" t="s">
        <v>238</v>
      </c>
      <c r="R295">
        <v>4</v>
      </c>
      <c r="S295" t="s">
        <v>239</v>
      </c>
      <c r="T295" t="s">
        <v>313</v>
      </c>
      <c r="U295" s="1">
        <v>-375796</v>
      </c>
      <c r="V295" s="1">
        <v>-3848817</v>
      </c>
      <c r="W295" t="s">
        <v>314</v>
      </c>
      <c r="X295">
        <v>1</v>
      </c>
      <c r="Y295" t="s">
        <v>34</v>
      </c>
    </row>
    <row r="296" spans="1:25" x14ac:dyDescent="0.3">
      <c r="A296">
        <v>295</v>
      </c>
      <c r="B296">
        <v>295</v>
      </c>
      <c r="C296">
        <v>954224000566</v>
      </c>
      <c r="D296">
        <v>25</v>
      </c>
      <c r="E296" t="s">
        <v>1596</v>
      </c>
      <c r="F296">
        <v>25</v>
      </c>
      <c r="G296" t="s">
        <v>1633</v>
      </c>
      <c r="H296" t="str">
        <f t="shared" si="4"/>
        <v>REDE 25 - BANDEIRA 25 - LOJA 295</v>
      </c>
      <c r="I296">
        <v>1</v>
      </c>
      <c r="J296" t="s">
        <v>26</v>
      </c>
      <c r="K296">
        <v>1</v>
      </c>
      <c r="L296" t="s">
        <v>327</v>
      </c>
      <c r="M296">
        <v>6</v>
      </c>
      <c r="N296" t="s">
        <v>236</v>
      </c>
      <c r="O296">
        <v>5</v>
      </c>
      <c r="P296" t="s">
        <v>237</v>
      </c>
      <c r="Q296" t="s">
        <v>238</v>
      </c>
      <c r="R296">
        <v>4</v>
      </c>
      <c r="S296" t="s">
        <v>239</v>
      </c>
      <c r="T296" t="s">
        <v>328</v>
      </c>
      <c r="U296" s="1">
        <v>-37755437</v>
      </c>
      <c r="V296" s="1">
        <v>-385619871</v>
      </c>
      <c r="W296" t="s">
        <v>326</v>
      </c>
      <c r="X296">
        <v>1</v>
      </c>
      <c r="Y296" t="s">
        <v>34</v>
      </c>
    </row>
    <row r="297" spans="1:25" x14ac:dyDescent="0.3">
      <c r="A297">
        <v>296</v>
      </c>
      <c r="B297">
        <v>296</v>
      </c>
      <c r="C297">
        <v>21399573000100</v>
      </c>
      <c r="D297">
        <v>25</v>
      </c>
      <c r="E297" t="s">
        <v>1596</v>
      </c>
      <c r="F297">
        <v>25</v>
      </c>
      <c r="G297" t="s">
        <v>1633</v>
      </c>
      <c r="H297" t="str">
        <f t="shared" si="4"/>
        <v>REDE 25 - BANDEIRA 25 - LOJA 296</v>
      </c>
      <c r="I297">
        <v>1</v>
      </c>
      <c r="J297" t="s">
        <v>26</v>
      </c>
      <c r="K297">
        <v>1</v>
      </c>
      <c r="L297" t="s">
        <v>746</v>
      </c>
      <c r="M297">
        <v>6</v>
      </c>
      <c r="N297" t="s">
        <v>236</v>
      </c>
      <c r="O297">
        <v>5</v>
      </c>
      <c r="P297" t="s">
        <v>237</v>
      </c>
      <c r="Q297" t="s">
        <v>238</v>
      </c>
      <c r="R297">
        <v>4</v>
      </c>
      <c r="S297" t="s">
        <v>239</v>
      </c>
      <c r="T297" t="s">
        <v>319</v>
      </c>
      <c r="U297" s="1">
        <v>-37408807</v>
      </c>
      <c r="V297" s="1">
        <v>-384735005</v>
      </c>
      <c r="W297" t="s">
        <v>320</v>
      </c>
      <c r="X297">
        <v>1</v>
      </c>
      <c r="Y297" t="s">
        <v>34</v>
      </c>
    </row>
    <row r="298" spans="1:25" x14ac:dyDescent="0.3">
      <c r="A298">
        <v>297</v>
      </c>
      <c r="B298">
        <v>297</v>
      </c>
      <c r="C298">
        <v>19629212000160</v>
      </c>
      <c r="D298">
        <v>25</v>
      </c>
      <c r="E298" t="s">
        <v>1596</v>
      </c>
      <c r="F298">
        <v>25</v>
      </c>
      <c r="G298" t="s">
        <v>1633</v>
      </c>
      <c r="H298" t="str">
        <f t="shared" si="4"/>
        <v>REDE 25 - BANDEIRA 25 - LOJA 297</v>
      </c>
      <c r="I298">
        <v>1</v>
      </c>
      <c r="J298" t="s">
        <v>26</v>
      </c>
      <c r="K298">
        <v>1</v>
      </c>
      <c r="L298" t="s">
        <v>747</v>
      </c>
      <c r="M298">
        <v>3</v>
      </c>
      <c r="N298" t="s">
        <v>43</v>
      </c>
      <c r="O298">
        <v>3</v>
      </c>
      <c r="P298" t="s">
        <v>44</v>
      </c>
      <c r="Q298" t="s">
        <v>43</v>
      </c>
      <c r="R298">
        <v>2</v>
      </c>
      <c r="S298" t="s">
        <v>39</v>
      </c>
      <c r="T298" t="s">
        <v>748</v>
      </c>
      <c r="U298" s="1">
        <v>-229220738</v>
      </c>
      <c r="V298" s="1">
        <v>-432354729</v>
      </c>
      <c r="W298" t="s">
        <v>200</v>
      </c>
      <c r="X298">
        <v>1</v>
      </c>
      <c r="Y298" t="s">
        <v>34</v>
      </c>
    </row>
    <row r="299" spans="1:25" x14ac:dyDescent="0.3">
      <c r="A299">
        <v>298</v>
      </c>
      <c r="B299">
        <v>298</v>
      </c>
      <c r="C299">
        <v>954224000302</v>
      </c>
      <c r="D299">
        <v>25</v>
      </c>
      <c r="E299" t="s">
        <v>1596</v>
      </c>
      <c r="F299">
        <v>25</v>
      </c>
      <c r="G299" t="s">
        <v>1633</v>
      </c>
      <c r="H299" t="str">
        <f t="shared" si="4"/>
        <v>REDE 25 - BANDEIRA 25 - LOJA 298</v>
      </c>
      <c r="I299">
        <v>1</v>
      </c>
      <c r="J299" t="s">
        <v>26</v>
      </c>
      <c r="K299">
        <v>1</v>
      </c>
      <c r="L299" t="s">
        <v>749</v>
      </c>
      <c r="M299">
        <v>6</v>
      </c>
      <c r="N299" t="s">
        <v>236</v>
      </c>
      <c r="O299">
        <v>5</v>
      </c>
      <c r="P299" t="s">
        <v>237</v>
      </c>
      <c r="Q299" t="s">
        <v>238</v>
      </c>
      <c r="R299">
        <v>4</v>
      </c>
      <c r="S299" t="s">
        <v>239</v>
      </c>
      <c r="T299" t="s">
        <v>750</v>
      </c>
      <c r="U299" s="1">
        <v>-37946075</v>
      </c>
      <c r="V299" s="1">
        <v>-384795714</v>
      </c>
      <c r="W299" t="s">
        <v>751</v>
      </c>
      <c r="X299">
        <v>1</v>
      </c>
      <c r="Y299" t="s">
        <v>34</v>
      </c>
    </row>
    <row r="300" spans="1:25" x14ac:dyDescent="0.3">
      <c r="A300">
        <v>299</v>
      </c>
      <c r="B300">
        <v>299</v>
      </c>
      <c r="C300">
        <v>44263972000144</v>
      </c>
      <c r="D300">
        <v>26</v>
      </c>
      <c r="E300" t="s">
        <v>1597</v>
      </c>
      <c r="F300">
        <v>26</v>
      </c>
      <c r="G300" t="s">
        <v>1634</v>
      </c>
      <c r="H300" t="str">
        <f t="shared" si="4"/>
        <v>REDE 26 - BANDEIRA 26 - LOJA 299</v>
      </c>
      <c r="I300">
        <v>1</v>
      </c>
      <c r="J300" t="s">
        <v>26</v>
      </c>
      <c r="K300">
        <v>2</v>
      </c>
      <c r="L300" t="s">
        <v>752</v>
      </c>
      <c r="M300">
        <v>2</v>
      </c>
      <c r="N300" t="s">
        <v>36</v>
      </c>
      <c r="O300">
        <v>2</v>
      </c>
      <c r="P300" t="s">
        <v>37</v>
      </c>
      <c r="Q300" t="s">
        <v>38</v>
      </c>
      <c r="R300">
        <v>2</v>
      </c>
      <c r="S300" t="s">
        <v>39</v>
      </c>
      <c r="T300" t="s">
        <v>753</v>
      </c>
      <c r="U300" s="1">
        <v>-235911154</v>
      </c>
      <c r="V300" s="1">
        <v>-466767674</v>
      </c>
      <c r="W300" t="s">
        <v>157</v>
      </c>
      <c r="X300">
        <v>1</v>
      </c>
      <c r="Y300" t="s">
        <v>34</v>
      </c>
    </row>
    <row r="301" spans="1:25" x14ac:dyDescent="0.3">
      <c r="A301">
        <v>300</v>
      </c>
      <c r="B301">
        <v>300</v>
      </c>
      <c r="C301">
        <v>27253546000100</v>
      </c>
      <c r="D301">
        <v>27</v>
      </c>
      <c r="E301" t="s">
        <v>1598</v>
      </c>
      <c r="F301">
        <v>27</v>
      </c>
      <c r="G301" t="s">
        <v>1635</v>
      </c>
      <c r="H301" t="str">
        <f t="shared" si="4"/>
        <v>REDE 27 - BANDEIRA 27 - LOJA 300</v>
      </c>
      <c r="I301">
        <v>1</v>
      </c>
      <c r="J301" t="s">
        <v>26</v>
      </c>
      <c r="K301">
        <v>2</v>
      </c>
      <c r="L301" t="s">
        <v>754</v>
      </c>
      <c r="M301">
        <v>2</v>
      </c>
      <c r="N301" t="s">
        <v>36</v>
      </c>
      <c r="O301">
        <v>2</v>
      </c>
      <c r="P301" t="s">
        <v>37</v>
      </c>
      <c r="Q301" t="s">
        <v>38</v>
      </c>
      <c r="R301">
        <v>2</v>
      </c>
      <c r="S301" t="s">
        <v>39</v>
      </c>
      <c r="T301" t="s">
        <v>755</v>
      </c>
      <c r="U301" s="1">
        <v>-235558056</v>
      </c>
      <c r="V301" s="1">
        <v>-465989491</v>
      </c>
      <c r="W301" t="s">
        <v>756</v>
      </c>
      <c r="X301">
        <v>1</v>
      </c>
      <c r="Y301" t="s">
        <v>34</v>
      </c>
    </row>
    <row r="302" spans="1:25" x14ac:dyDescent="0.3">
      <c r="A302">
        <v>301</v>
      </c>
      <c r="B302">
        <v>301</v>
      </c>
      <c r="C302">
        <v>27253546000100</v>
      </c>
      <c r="D302">
        <v>27</v>
      </c>
      <c r="E302" t="s">
        <v>1598</v>
      </c>
      <c r="F302">
        <v>27</v>
      </c>
      <c r="G302" t="s">
        <v>1635</v>
      </c>
      <c r="H302" t="str">
        <f t="shared" si="4"/>
        <v>REDE 27 - BANDEIRA 27 - LOJA 301</v>
      </c>
      <c r="I302">
        <v>1</v>
      </c>
      <c r="J302" t="s">
        <v>26</v>
      </c>
      <c r="K302">
        <v>2</v>
      </c>
      <c r="L302" t="s">
        <v>757</v>
      </c>
      <c r="M302">
        <v>2</v>
      </c>
      <c r="N302" t="s">
        <v>36</v>
      </c>
      <c r="O302">
        <v>2</v>
      </c>
      <c r="P302" t="s">
        <v>37</v>
      </c>
      <c r="Q302" t="s">
        <v>38</v>
      </c>
      <c r="R302">
        <v>2</v>
      </c>
      <c r="S302" t="s">
        <v>39</v>
      </c>
      <c r="T302" t="s">
        <v>755</v>
      </c>
      <c r="U302" s="1">
        <v>-235517186</v>
      </c>
      <c r="V302" s="1">
        <v>-465302161</v>
      </c>
      <c r="W302" t="s">
        <v>756</v>
      </c>
      <c r="X302">
        <v>1</v>
      </c>
      <c r="Y302" t="s">
        <v>34</v>
      </c>
    </row>
    <row r="303" spans="1:25" x14ac:dyDescent="0.3">
      <c r="A303">
        <v>302</v>
      </c>
      <c r="B303">
        <v>302</v>
      </c>
      <c r="C303">
        <v>27253546000100</v>
      </c>
      <c r="D303">
        <v>27</v>
      </c>
      <c r="E303" t="s">
        <v>1598</v>
      </c>
      <c r="F303">
        <v>27</v>
      </c>
      <c r="G303" t="s">
        <v>1635</v>
      </c>
      <c r="H303" t="str">
        <f t="shared" si="4"/>
        <v>REDE 27 - BANDEIRA 27 - LOJA 302</v>
      </c>
      <c r="I303">
        <v>1</v>
      </c>
      <c r="J303" t="s">
        <v>26</v>
      </c>
      <c r="K303">
        <v>2</v>
      </c>
      <c r="L303" t="s">
        <v>758</v>
      </c>
      <c r="M303">
        <v>2</v>
      </c>
      <c r="N303" t="s">
        <v>36</v>
      </c>
      <c r="O303">
        <v>2</v>
      </c>
      <c r="P303" t="s">
        <v>37</v>
      </c>
      <c r="Q303" t="s">
        <v>38</v>
      </c>
      <c r="R303">
        <v>2</v>
      </c>
      <c r="S303" t="s">
        <v>39</v>
      </c>
      <c r="T303" t="s">
        <v>755</v>
      </c>
      <c r="U303" s="1">
        <v>-23552789</v>
      </c>
      <c r="V303" s="1">
        <v>-46566541</v>
      </c>
      <c r="W303" t="s">
        <v>756</v>
      </c>
      <c r="X303">
        <v>1</v>
      </c>
      <c r="Y303" t="s">
        <v>34</v>
      </c>
    </row>
    <row r="304" spans="1:25" x14ac:dyDescent="0.3">
      <c r="A304">
        <v>303</v>
      </c>
      <c r="B304">
        <v>303</v>
      </c>
      <c r="C304">
        <v>27253546000100</v>
      </c>
      <c r="D304">
        <v>27</v>
      </c>
      <c r="E304" t="s">
        <v>1598</v>
      </c>
      <c r="F304">
        <v>27</v>
      </c>
      <c r="G304" t="s">
        <v>1635</v>
      </c>
      <c r="H304" t="str">
        <f t="shared" si="4"/>
        <v>REDE 27 - BANDEIRA 27 - LOJA 303</v>
      </c>
      <c r="I304">
        <v>1</v>
      </c>
      <c r="J304" t="s">
        <v>26</v>
      </c>
      <c r="K304">
        <v>2</v>
      </c>
      <c r="L304" t="s">
        <v>759</v>
      </c>
      <c r="M304">
        <v>2</v>
      </c>
      <c r="N304" t="s">
        <v>36</v>
      </c>
      <c r="O304">
        <v>2</v>
      </c>
      <c r="P304" t="s">
        <v>37</v>
      </c>
      <c r="Q304" t="s">
        <v>38</v>
      </c>
      <c r="R304">
        <v>2</v>
      </c>
      <c r="S304" t="s">
        <v>39</v>
      </c>
      <c r="T304" t="s">
        <v>755</v>
      </c>
      <c r="U304" s="1">
        <v>-235744003</v>
      </c>
      <c r="V304" s="1">
        <v>-465566185</v>
      </c>
      <c r="W304" t="s">
        <v>756</v>
      </c>
      <c r="X304">
        <v>1</v>
      </c>
      <c r="Y304" t="s">
        <v>34</v>
      </c>
    </row>
    <row r="305" spans="1:25" x14ac:dyDescent="0.3">
      <c r="A305">
        <v>304</v>
      </c>
      <c r="B305">
        <v>304</v>
      </c>
      <c r="C305">
        <v>2640663000104</v>
      </c>
      <c r="D305">
        <v>28</v>
      </c>
      <c r="E305" t="s">
        <v>1599</v>
      </c>
      <c r="F305">
        <v>28</v>
      </c>
      <c r="G305" t="s">
        <v>1636</v>
      </c>
      <c r="H305" t="str">
        <f t="shared" si="4"/>
        <v>REDE 28 - BANDEIRA 28 - LOJA 304</v>
      </c>
      <c r="I305">
        <v>1</v>
      </c>
      <c r="J305" t="s">
        <v>26</v>
      </c>
      <c r="K305">
        <v>2</v>
      </c>
      <c r="L305" t="s">
        <v>760</v>
      </c>
      <c r="M305">
        <v>2</v>
      </c>
      <c r="N305" t="s">
        <v>36</v>
      </c>
      <c r="O305">
        <v>2</v>
      </c>
      <c r="P305" t="s">
        <v>37</v>
      </c>
      <c r="Q305" t="s">
        <v>38</v>
      </c>
      <c r="R305">
        <v>2</v>
      </c>
      <c r="S305" t="s">
        <v>39</v>
      </c>
      <c r="T305" t="s">
        <v>515</v>
      </c>
      <c r="U305" s="1">
        <v>-235842369</v>
      </c>
      <c r="V305" s="1">
        <v>-46680921</v>
      </c>
      <c r="W305" t="s">
        <v>516</v>
      </c>
      <c r="X305">
        <v>1</v>
      </c>
      <c r="Y305" t="s">
        <v>34</v>
      </c>
    </row>
    <row r="306" spans="1:25" x14ac:dyDescent="0.3">
      <c r="A306">
        <v>305</v>
      </c>
      <c r="B306">
        <v>305</v>
      </c>
      <c r="C306">
        <v>3473748000108</v>
      </c>
      <c r="D306">
        <v>28</v>
      </c>
      <c r="E306" t="s">
        <v>1599</v>
      </c>
      <c r="F306">
        <v>28</v>
      </c>
      <c r="G306" t="s">
        <v>1636</v>
      </c>
      <c r="H306" t="str">
        <f t="shared" si="4"/>
        <v>REDE 28 - BANDEIRA 28 - LOJA 305</v>
      </c>
      <c r="I306">
        <v>1</v>
      </c>
      <c r="J306" t="s">
        <v>26</v>
      </c>
      <c r="K306">
        <v>2</v>
      </c>
      <c r="L306" t="s">
        <v>760</v>
      </c>
      <c r="M306">
        <v>2</v>
      </c>
      <c r="N306" t="s">
        <v>36</v>
      </c>
      <c r="O306">
        <v>2</v>
      </c>
      <c r="P306" t="s">
        <v>37</v>
      </c>
      <c r="Q306" t="s">
        <v>38</v>
      </c>
      <c r="R306">
        <v>2</v>
      </c>
      <c r="S306" t="s">
        <v>39</v>
      </c>
      <c r="T306" t="s">
        <v>761</v>
      </c>
      <c r="U306" s="1">
        <v>-235842369</v>
      </c>
      <c r="V306" s="1">
        <v>-46680921</v>
      </c>
      <c r="W306" t="s">
        <v>516</v>
      </c>
      <c r="X306">
        <v>1</v>
      </c>
      <c r="Y306" t="s">
        <v>34</v>
      </c>
    </row>
    <row r="307" spans="1:25" x14ac:dyDescent="0.3">
      <c r="A307">
        <v>306</v>
      </c>
      <c r="B307">
        <v>306</v>
      </c>
      <c r="C307">
        <v>61585865069194</v>
      </c>
      <c r="D307">
        <v>39</v>
      </c>
      <c r="E307" t="s">
        <v>1600</v>
      </c>
      <c r="F307">
        <v>38</v>
      </c>
      <c r="G307" t="s">
        <v>1637</v>
      </c>
      <c r="H307" t="str">
        <f t="shared" si="4"/>
        <v>REDE 39 - BANDEIRA 39 - LOJA 306</v>
      </c>
      <c r="I307">
        <v>2</v>
      </c>
      <c r="J307" t="s">
        <v>1646</v>
      </c>
      <c r="K307">
        <v>3</v>
      </c>
      <c r="L307" t="s">
        <v>762</v>
      </c>
      <c r="M307">
        <v>2</v>
      </c>
      <c r="N307" t="s">
        <v>36</v>
      </c>
      <c r="O307">
        <v>2</v>
      </c>
      <c r="P307" t="s">
        <v>37</v>
      </c>
      <c r="Q307" t="s">
        <v>38</v>
      </c>
      <c r="R307">
        <v>2</v>
      </c>
      <c r="S307" t="s">
        <v>39</v>
      </c>
      <c r="T307" t="s">
        <v>763</v>
      </c>
      <c r="U307" s="1">
        <v>-235718882</v>
      </c>
      <c r="V307" s="1">
        <v>-466572195</v>
      </c>
      <c r="W307" t="s">
        <v>163</v>
      </c>
      <c r="X307">
        <v>1</v>
      </c>
      <c r="Y307" t="s">
        <v>34</v>
      </c>
    </row>
    <row r="308" spans="1:25" x14ac:dyDescent="0.3">
      <c r="A308">
        <v>307</v>
      </c>
      <c r="B308">
        <v>307</v>
      </c>
      <c r="C308">
        <v>61585865068899</v>
      </c>
      <c r="D308">
        <v>39</v>
      </c>
      <c r="E308" t="s">
        <v>1600</v>
      </c>
      <c r="F308">
        <v>38</v>
      </c>
      <c r="G308" t="s">
        <v>1637</v>
      </c>
      <c r="H308" t="str">
        <f t="shared" si="4"/>
        <v>REDE 39 - BANDEIRA 39 - LOJA 307</v>
      </c>
      <c r="I308">
        <v>2</v>
      </c>
      <c r="J308" t="s">
        <v>1646</v>
      </c>
      <c r="K308">
        <v>3</v>
      </c>
      <c r="L308" t="s">
        <v>764</v>
      </c>
      <c r="M308">
        <v>2</v>
      </c>
      <c r="N308" t="s">
        <v>36</v>
      </c>
      <c r="O308">
        <v>2</v>
      </c>
      <c r="P308" t="s">
        <v>37</v>
      </c>
      <c r="Q308" t="s">
        <v>38</v>
      </c>
      <c r="R308">
        <v>2</v>
      </c>
      <c r="S308" t="s">
        <v>39</v>
      </c>
      <c r="T308" t="s">
        <v>765</v>
      </c>
      <c r="U308" s="1">
        <v>-235390714</v>
      </c>
      <c r="V308" s="1">
        <v>-467192574</v>
      </c>
      <c r="W308" t="s">
        <v>457</v>
      </c>
      <c r="X308">
        <v>1</v>
      </c>
      <c r="Y308" t="s">
        <v>34</v>
      </c>
    </row>
    <row r="309" spans="1:25" x14ac:dyDescent="0.3">
      <c r="A309">
        <v>308</v>
      </c>
      <c r="B309">
        <v>308</v>
      </c>
      <c r="C309">
        <v>61585865060138</v>
      </c>
      <c r="D309">
        <v>39</v>
      </c>
      <c r="E309" t="s">
        <v>1600</v>
      </c>
      <c r="F309">
        <v>38</v>
      </c>
      <c r="G309" t="s">
        <v>1637</v>
      </c>
      <c r="H309" t="str">
        <f t="shared" si="4"/>
        <v>REDE 39 - BANDEIRA 39 - LOJA 308</v>
      </c>
      <c r="I309">
        <v>2</v>
      </c>
      <c r="J309" t="s">
        <v>1646</v>
      </c>
      <c r="K309">
        <v>3</v>
      </c>
      <c r="L309" t="s">
        <v>766</v>
      </c>
      <c r="M309">
        <v>2</v>
      </c>
      <c r="N309" t="s">
        <v>36</v>
      </c>
      <c r="O309">
        <v>2</v>
      </c>
      <c r="P309" t="s">
        <v>37</v>
      </c>
      <c r="Q309" t="s">
        <v>38</v>
      </c>
      <c r="R309">
        <v>2</v>
      </c>
      <c r="S309" t="s">
        <v>39</v>
      </c>
      <c r="T309" t="s">
        <v>767</v>
      </c>
      <c r="U309" s="1">
        <v>-236531266</v>
      </c>
      <c r="V309" s="1">
        <v>-466892238</v>
      </c>
      <c r="W309" t="s">
        <v>768</v>
      </c>
      <c r="X309">
        <v>1</v>
      </c>
      <c r="Y309" t="s">
        <v>34</v>
      </c>
    </row>
    <row r="310" spans="1:25" x14ac:dyDescent="0.3">
      <c r="A310">
        <v>309</v>
      </c>
      <c r="B310">
        <v>309</v>
      </c>
      <c r="C310">
        <v>61585865230661</v>
      </c>
      <c r="D310">
        <v>39</v>
      </c>
      <c r="E310" t="s">
        <v>1600</v>
      </c>
      <c r="F310">
        <v>38</v>
      </c>
      <c r="G310" t="s">
        <v>1637</v>
      </c>
      <c r="H310" t="str">
        <f t="shared" si="4"/>
        <v>REDE 39 - BANDEIRA 39 - LOJA 309</v>
      </c>
      <c r="I310">
        <v>2</v>
      </c>
      <c r="J310" t="s">
        <v>1646</v>
      </c>
      <c r="K310">
        <v>3</v>
      </c>
      <c r="L310" t="s">
        <v>769</v>
      </c>
      <c r="M310">
        <v>1</v>
      </c>
      <c r="N310" t="s">
        <v>28</v>
      </c>
      <c r="O310">
        <v>1</v>
      </c>
      <c r="P310" t="s">
        <v>29</v>
      </c>
      <c r="Q310" t="s">
        <v>30</v>
      </c>
      <c r="R310">
        <v>1</v>
      </c>
      <c r="S310" t="s">
        <v>31</v>
      </c>
      <c r="T310" t="s">
        <v>770</v>
      </c>
      <c r="U310" s="1">
        <v>-25406895</v>
      </c>
      <c r="V310" s="1">
        <v>-492553362</v>
      </c>
      <c r="W310" t="s">
        <v>662</v>
      </c>
      <c r="X310">
        <v>1</v>
      </c>
      <c r="Y310" t="s">
        <v>34</v>
      </c>
    </row>
    <row r="311" spans="1:25" x14ac:dyDescent="0.3">
      <c r="A311">
        <v>310</v>
      </c>
      <c r="B311">
        <v>310</v>
      </c>
      <c r="C311">
        <v>61585865247394</v>
      </c>
      <c r="D311">
        <v>39</v>
      </c>
      <c r="E311" t="s">
        <v>1600</v>
      </c>
      <c r="F311">
        <v>38</v>
      </c>
      <c r="G311" t="s">
        <v>1637</v>
      </c>
      <c r="H311" t="str">
        <f t="shared" si="4"/>
        <v>REDE 39 - BANDEIRA 39 - LOJA 310</v>
      </c>
      <c r="I311">
        <v>2</v>
      </c>
      <c r="J311" t="s">
        <v>1646</v>
      </c>
      <c r="K311">
        <v>3</v>
      </c>
      <c r="L311" t="s">
        <v>771</v>
      </c>
      <c r="M311">
        <v>1</v>
      </c>
      <c r="N311" t="s">
        <v>28</v>
      </c>
      <c r="O311">
        <v>1</v>
      </c>
      <c r="P311" t="s">
        <v>29</v>
      </c>
      <c r="Q311" t="s">
        <v>30</v>
      </c>
      <c r="R311">
        <v>1</v>
      </c>
      <c r="S311" t="s">
        <v>31</v>
      </c>
      <c r="T311" t="s">
        <v>772</v>
      </c>
      <c r="U311" s="1">
        <v>-254487185</v>
      </c>
      <c r="V311" s="1">
        <v>-493075925</v>
      </c>
      <c r="W311" t="s">
        <v>773</v>
      </c>
      <c r="X311">
        <v>1</v>
      </c>
      <c r="Y311" t="s">
        <v>34</v>
      </c>
    </row>
    <row r="312" spans="1:25" x14ac:dyDescent="0.3">
      <c r="A312">
        <v>311</v>
      </c>
      <c r="B312">
        <v>311</v>
      </c>
      <c r="C312">
        <v>61585865278192</v>
      </c>
      <c r="D312">
        <v>39</v>
      </c>
      <c r="E312" t="s">
        <v>1600</v>
      </c>
      <c r="F312">
        <v>38</v>
      </c>
      <c r="G312" t="s">
        <v>1637</v>
      </c>
      <c r="H312" t="str">
        <f t="shared" si="4"/>
        <v>REDE 39 - BANDEIRA 39 - LOJA 311</v>
      </c>
      <c r="I312">
        <v>2</v>
      </c>
      <c r="J312" t="s">
        <v>1646</v>
      </c>
      <c r="K312">
        <v>3</v>
      </c>
      <c r="L312" t="s">
        <v>774</v>
      </c>
      <c r="M312">
        <v>1</v>
      </c>
      <c r="N312" t="s">
        <v>28</v>
      </c>
      <c r="O312">
        <v>1</v>
      </c>
      <c r="P312" t="s">
        <v>29</v>
      </c>
      <c r="Q312" t="s">
        <v>30</v>
      </c>
      <c r="R312">
        <v>1</v>
      </c>
      <c r="S312" t="s">
        <v>31</v>
      </c>
      <c r="T312" t="s">
        <v>595</v>
      </c>
      <c r="U312" s="1">
        <v>-253923654</v>
      </c>
      <c r="V312" s="1">
        <v>-493344862999999</v>
      </c>
      <c r="W312" t="s">
        <v>596</v>
      </c>
      <c r="X312">
        <v>1</v>
      </c>
      <c r="Y312" t="s">
        <v>34</v>
      </c>
    </row>
    <row r="313" spans="1:25" x14ac:dyDescent="0.3">
      <c r="A313">
        <v>312</v>
      </c>
      <c r="B313">
        <v>312</v>
      </c>
      <c r="C313">
        <v>61585865093575</v>
      </c>
      <c r="D313">
        <v>39</v>
      </c>
      <c r="E313" t="s">
        <v>1600</v>
      </c>
      <c r="F313">
        <v>38</v>
      </c>
      <c r="G313" t="s">
        <v>1637</v>
      </c>
      <c r="H313" t="str">
        <f t="shared" si="4"/>
        <v>REDE 39 - BANDEIRA 39 - LOJA 312</v>
      </c>
      <c r="I313">
        <v>2</v>
      </c>
      <c r="J313" t="s">
        <v>1646</v>
      </c>
      <c r="K313">
        <v>3</v>
      </c>
      <c r="L313" t="s">
        <v>775</v>
      </c>
      <c r="M313">
        <v>3</v>
      </c>
      <c r="N313" t="s">
        <v>43</v>
      </c>
      <c r="O313">
        <v>3</v>
      </c>
      <c r="P313" t="s">
        <v>44</v>
      </c>
      <c r="Q313" t="s">
        <v>43</v>
      </c>
      <c r="R313">
        <v>2</v>
      </c>
      <c r="S313" t="s">
        <v>39</v>
      </c>
      <c r="T313" t="s">
        <v>776</v>
      </c>
      <c r="U313" s="1">
        <v>-229404705</v>
      </c>
      <c r="V313" s="1">
        <v>-433384602</v>
      </c>
      <c r="W313" t="s">
        <v>777</v>
      </c>
      <c r="X313">
        <v>1</v>
      </c>
      <c r="Y313" t="s">
        <v>34</v>
      </c>
    </row>
    <row r="314" spans="1:25" x14ac:dyDescent="0.3">
      <c r="A314">
        <v>313</v>
      </c>
      <c r="B314">
        <v>313</v>
      </c>
      <c r="C314">
        <v>61585865162216</v>
      </c>
      <c r="D314">
        <v>39</v>
      </c>
      <c r="E314" t="s">
        <v>1600</v>
      </c>
      <c r="F314">
        <v>38</v>
      </c>
      <c r="G314" t="s">
        <v>1637</v>
      </c>
      <c r="H314" t="str">
        <f t="shared" si="4"/>
        <v>REDE 39 - BANDEIRA 39 - LOJA 313</v>
      </c>
      <c r="I314">
        <v>2</v>
      </c>
      <c r="J314" t="s">
        <v>1646</v>
      </c>
      <c r="K314">
        <v>3</v>
      </c>
      <c r="L314" t="s">
        <v>778</v>
      </c>
      <c r="M314">
        <v>2</v>
      </c>
      <c r="N314" t="s">
        <v>36</v>
      </c>
      <c r="O314">
        <v>2</v>
      </c>
      <c r="P314" t="s">
        <v>37</v>
      </c>
      <c r="Q314" t="s">
        <v>38</v>
      </c>
      <c r="R314">
        <v>2</v>
      </c>
      <c r="S314" t="s">
        <v>39</v>
      </c>
      <c r="T314" t="s">
        <v>779</v>
      </c>
      <c r="U314" s="1">
        <v>-235954322</v>
      </c>
      <c r="V314" s="1">
        <v>-46606108</v>
      </c>
      <c r="W314" t="s">
        <v>780</v>
      </c>
      <c r="X314">
        <v>1</v>
      </c>
      <c r="Y314" t="s">
        <v>34</v>
      </c>
    </row>
    <row r="315" spans="1:25" x14ac:dyDescent="0.3">
      <c r="A315">
        <v>314</v>
      </c>
      <c r="B315">
        <v>314</v>
      </c>
      <c r="C315">
        <v>61585865066098</v>
      </c>
      <c r="D315">
        <v>39</v>
      </c>
      <c r="E315" t="s">
        <v>1600</v>
      </c>
      <c r="F315">
        <v>38</v>
      </c>
      <c r="G315" t="s">
        <v>1637</v>
      </c>
      <c r="H315" t="str">
        <f t="shared" si="4"/>
        <v>REDE 39 - BANDEIRA 39 - LOJA 314</v>
      </c>
      <c r="I315">
        <v>2</v>
      </c>
      <c r="J315" t="s">
        <v>1646</v>
      </c>
      <c r="K315">
        <v>3</v>
      </c>
      <c r="L315" t="s">
        <v>781</v>
      </c>
      <c r="M315">
        <v>2</v>
      </c>
      <c r="N315" t="s">
        <v>36</v>
      </c>
      <c r="O315">
        <v>2</v>
      </c>
      <c r="P315" t="s">
        <v>37</v>
      </c>
      <c r="Q315" t="s">
        <v>38</v>
      </c>
      <c r="R315">
        <v>2</v>
      </c>
      <c r="S315" t="s">
        <v>39</v>
      </c>
      <c r="T315" t="s">
        <v>782</v>
      </c>
      <c r="U315" s="1">
        <v>-23550406</v>
      </c>
      <c r="V315" s="1">
        <v>-465956546</v>
      </c>
      <c r="W315" t="s">
        <v>783</v>
      </c>
      <c r="X315">
        <v>1</v>
      </c>
      <c r="Y315" t="s">
        <v>34</v>
      </c>
    </row>
    <row r="316" spans="1:25" x14ac:dyDescent="0.3">
      <c r="A316">
        <v>315</v>
      </c>
      <c r="B316">
        <v>315</v>
      </c>
      <c r="C316">
        <v>61585865100105</v>
      </c>
      <c r="D316">
        <v>39</v>
      </c>
      <c r="E316" t="s">
        <v>1600</v>
      </c>
      <c r="F316">
        <v>38</v>
      </c>
      <c r="G316" t="s">
        <v>1637</v>
      </c>
      <c r="H316" t="str">
        <f t="shared" si="4"/>
        <v>REDE 39 - BANDEIRA 39 - LOJA 315</v>
      </c>
      <c r="I316">
        <v>2</v>
      </c>
      <c r="J316" t="s">
        <v>1646</v>
      </c>
      <c r="K316">
        <v>3</v>
      </c>
      <c r="L316" t="s">
        <v>784</v>
      </c>
      <c r="M316">
        <v>3</v>
      </c>
      <c r="N316" t="s">
        <v>43</v>
      </c>
      <c r="O316">
        <v>3</v>
      </c>
      <c r="P316" t="s">
        <v>44</v>
      </c>
      <c r="Q316" t="s">
        <v>43</v>
      </c>
      <c r="R316">
        <v>2</v>
      </c>
      <c r="S316" t="s">
        <v>39</v>
      </c>
      <c r="T316" t="s">
        <v>528</v>
      </c>
      <c r="U316" s="1">
        <v>-23207175</v>
      </c>
      <c r="V316" s="1">
        <v>-434532344</v>
      </c>
      <c r="W316" t="s">
        <v>109</v>
      </c>
      <c r="X316">
        <v>1</v>
      </c>
      <c r="Y316" t="s">
        <v>34</v>
      </c>
    </row>
    <row r="317" spans="1:25" x14ac:dyDescent="0.3">
      <c r="A317">
        <v>316</v>
      </c>
      <c r="B317">
        <v>316</v>
      </c>
      <c r="C317">
        <v>61585865255575</v>
      </c>
      <c r="D317">
        <v>39</v>
      </c>
      <c r="E317" t="s">
        <v>1600</v>
      </c>
      <c r="F317">
        <v>38</v>
      </c>
      <c r="G317" t="s">
        <v>1637</v>
      </c>
      <c r="H317" t="str">
        <f t="shared" si="4"/>
        <v>REDE 39 - BANDEIRA 39 - LOJA 316</v>
      </c>
      <c r="I317">
        <v>2</v>
      </c>
      <c r="J317" t="s">
        <v>1646</v>
      </c>
      <c r="K317">
        <v>3</v>
      </c>
      <c r="L317" t="s">
        <v>785</v>
      </c>
      <c r="M317">
        <v>3</v>
      </c>
      <c r="N317" t="s">
        <v>43</v>
      </c>
      <c r="O317">
        <v>3</v>
      </c>
      <c r="P317" t="s">
        <v>44</v>
      </c>
      <c r="Q317" t="s">
        <v>43</v>
      </c>
      <c r="R317">
        <v>2</v>
      </c>
      <c r="S317" t="s">
        <v>39</v>
      </c>
      <c r="T317" t="s">
        <v>288</v>
      </c>
      <c r="U317" s="1">
        <v>-2392967</v>
      </c>
      <c r="V317" s="1">
        <v>-433065736</v>
      </c>
      <c r="W317" t="s">
        <v>115</v>
      </c>
      <c r="X317">
        <v>1</v>
      </c>
      <c r="Y317" t="s">
        <v>34</v>
      </c>
    </row>
    <row r="318" spans="1:25" x14ac:dyDescent="0.3">
      <c r="A318">
        <v>317</v>
      </c>
      <c r="B318">
        <v>317</v>
      </c>
      <c r="C318">
        <v>61585865297731</v>
      </c>
      <c r="D318">
        <v>39</v>
      </c>
      <c r="E318" t="s">
        <v>1600</v>
      </c>
      <c r="F318">
        <v>38</v>
      </c>
      <c r="G318" t="s">
        <v>1637</v>
      </c>
      <c r="H318" t="str">
        <f t="shared" si="4"/>
        <v>REDE 39 - BANDEIRA 39 - LOJA 317</v>
      </c>
      <c r="I318">
        <v>2</v>
      </c>
      <c r="J318" t="s">
        <v>1646</v>
      </c>
      <c r="K318">
        <v>3</v>
      </c>
      <c r="L318" t="s">
        <v>786</v>
      </c>
      <c r="M318">
        <v>3</v>
      </c>
      <c r="N318" t="s">
        <v>43</v>
      </c>
      <c r="O318">
        <v>3</v>
      </c>
      <c r="P318" t="s">
        <v>44</v>
      </c>
      <c r="Q318" t="s">
        <v>43</v>
      </c>
      <c r="R318">
        <v>2</v>
      </c>
      <c r="S318" t="s">
        <v>39</v>
      </c>
      <c r="T318" t="s">
        <v>787</v>
      </c>
      <c r="U318" s="1">
        <v>-229567912</v>
      </c>
      <c r="V318" s="1">
        <v>-431919875</v>
      </c>
      <c r="W318" t="s">
        <v>45</v>
      </c>
      <c r="X318">
        <v>1</v>
      </c>
      <c r="Y318" t="s">
        <v>34</v>
      </c>
    </row>
    <row r="319" spans="1:25" x14ac:dyDescent="0.3">
      <c r="A319">
        <v>318</v>
      </c>
      <c r="B319">
        <v>318</v>
      </c>
      <c r="C319">
        <v>61585865309250</v>
      </c>
      <c r="D319">
        <v>39</v>
      </c>
      <c r="E319" t="s">
        <v>1600</v>
      </c>
      <c r="F319">
        <v>38</v>
      </c>
      <c r="G319" t="s">
        <v>1637</v>
      </c>
      <c r="H319" t="str">
        <f t="shared" si="4"/>
        <v>REDE 39 - BANDEIRA 39 - LOJA 318</v>
      </c>
      <c r="I319">
        <v>2</v>
      </c>
      <c r="J319" t="s">
        <v>1646</v>
      </c>
      <c r="K319">
        <v>3</v>
      </c>
      <c r="L319" t="s">
        <v>788</v>
      </c>
      <c r="M319">
        <v>3</v>
      </c>
      <c r="N319" t="s">
        <v>43</v>
      </c>
      <c r="O319">
        <v>3</v>
      </c>
      <c r="P319" t="s">
        <v>44</v>
      </c>
      <c r="Q319" t="s">
        <v>43</v>
      </c>
      <c r="R319">
        <v>2</v>
      </c>
      <c r="S319" t="s">
        <v>39</v>
      </c>
      <c r="T319" t="s">
        <v>789</v>
      </c>
      <c r="U319" s="1">
        <v>-229307807</v>
      </c>
      <c r="V319" s="1">
        <v>-431763811</v>
      </c>
      <c r="W319" t="s">
        <v>720</v>
      </c>
      <c r="X319">
        <v>1</v>
      </c>
      <c r="Y319" t="s">
        <v>34</v>
      </c>
    </row>
    <row r="320" spans="1:25" x14ac:dyDescent="0.3">
      <c r="A320">
        <v>319</v>
      </c>
      <c r="B320">
        <v>319</v>
      </c>
      <c r="C320">
        <v>61585865281657</v>
      </c>
      <c r="D320">
        <v>39</v>
      </c>
      <c r="E320" t="s">
        <v>1600</v>
      </c>
      <c r="F320">
        <v>38</v>
      </c>
      <c r="G320" t="s">
        <v>1637</v>
      </c>
      <c r="H320" t="str">
        <f t="shared" si="4"/>
        <v>REDE 39 - BANDEIRA 39 - LOJA 319</v>
      </c>
      <c r="I320">
        <v>2</v>
      </c>
      <c r="J320" t="s">
        <v>1646</v>
      </c>
      <c r="K320">
        <v>3</v>
      </c>
      <c r="L320" t="s">
        <v>790</v>
      </c>
      <c r="M320">
        <v>3</v>
      </c>
      <c r="N320" t="s">
        <v>43</v>
      </c>
      <c r="O320">
        <v>3</v>
      </c>
      <c r="P320" t="s">
        <v>44</v>
      </c>
      <c r="Q320" t="s">
        <v>43</v>
      </c>
      <c r="R320">
        <v>2</v>
      </c>
      <c r="S320" t="s">
        <v>39</v>
      </c>
      <c r="T320" t="s">
        <v>791</v>
      </c>
      <c r="U320" s="1">
        <v>-229705791</v>
      </c>
      <c r="V320" s="1">
        <v>-433887131</v>
      </c>
      <c r="W320" t="s">
        <v>723</v>
      </c>
      <c r="X320">
        <v>1</v>
      </c>
      <c r="Y320" t="s">
        <v>34</v>
      </c>
    </row>
    <row r="321" spans="1:25" x14ac:dyDescent="0.3">
      <c r="A321">
        <v>320</v>
      </c>
      <c r="B321">
        <v>320</v>
      </c>
      <c r="C321">
        <v>61585865309098</v>
      </c>
      <c r="D321">
        <v>39</v>
      </c>
      <c r="E321" t="s">
        <v>1600</v>
      </c>
      <c r="F321">
        <v>38</v>
      </c>
      <c r="G321" t="s">
        <v>1637</v>
      </c>
      <c r="H321" t="str">
        <f t="shared" si="4"/>
        <v>REDE 39 - BANDEIRA 39 - LOJA 320</v>
      </c>
      <c r="I321">
        <v>2</v>
      </c>
      <c r="J321" t="s">
        <v>1646</v>
      </c>
      <c r="K321">
        <v>3</v>
      </c>
      <c r="L321" t="s">
        <v>792</v>
      </c>
      <c r="M321">
        <v>3</v>
      </c>
      <c r="N321" t="s">
        <v>43</v>
      </c>
      <c r="O321">
        <v>3</v>
      </c>
      <c r="P321" t="s">
        <v>44</v>
      </c>
      <c r="Q321" t="s">
        <v>43</v>
      </c>
      <c r="R321">
        <v>2</v>
      </c>
      <c r="S321" t="s">
        <v>39</v>
      </c>
      <c r="T321" t="s">
        <v>793</v>
      </c>
      <c r="U321" s="1">
        <v>-22938034</v>
      </c>
      <c r="V321" s="1">
        <v>-431903093</v>
      </c>
      <c r="W321" t="s">
        <v>794</v>
      </c>
      <c r="X321">
        <v>1</v>
      </c>
      <c r="Y321" t="s">
        <v>34</v>
      </c>
    </row>
    <row r="322" spans="1:25" x14ac:dyDescent="0.3">
      <c r="A322">
        <v>321</v>
      </c>
      <c r="B322">
        <v>321</v>
      </c>
      <c r="C322">
        <v>61585865127305</v>
      </c>
      <c r="D322">
        <v>39</v>
      </c>
      <c r="E322" t="s">
        <v>1600</v>
      </c>
      <c r="F322">
        <v>38</v>
      </c>
      <c r="G322" t="s">
        <v>1637</v>
      </c>
      <c r="H322" t="str">
        <f t="shared" si="4"/>
        <v>REDE 39 - BANDEIRA 39 - LOJA 321</v>
      </c>
      <c r="I322">
        <v>2</v>
      </c>
      <c r="J322" t="s">
        <v>1646</v>
      </c>
      <c r="K322">
        <v>3</v>
      </c>
      <c r="L322" t="s">
        <v>795</v>
      </c>
      <c r="M322">
        <v>3</v>
      </c>
      <c r="N322" t="s">
        <v>43</v>
      </c>
      <c r="O322">
        <v>3</v>
      </c>
      <c r="P322" t="s">
        <v>44</v>
      </c>
      <c r="Q322" t="s">
        <v>43</v>
      </c>
      <c r="R322">
        <v>2</v>
      </c>
      <c r="S322" t="s">
        <v>39</v>
      </c>
      <c r="T322" t="s">
        <v>796</v>
      </c>
      <c r="U322" s="1">
        <v>-23181322</v>
      </c>
      <c r="V322" s="1">
        <v>-434794884</v>
      </c>
      <c r="W322" t="s">
        <v>109</v>
      </c>
      <c r="X322">
        <v>1</v>
      </c>
      <c r="Y322" t="s">
        <v>34</v>
      </c>
    </row>
    <row r="323" spans="1:25" x14ac:dyDescent="0.3">
      <c r="A323">
        <v>322</v>
      </c>
      <c r="B323">
        <v>322</v>
      </c>
      <c r="C323">
        <v>61585865281576</v>
      </c>
      <c r="D323">
        <v>39</v>
      </c>
      <c r="E323" t="s">
        <v>1600</v>
      </c>
      <c r="F323">
        <v>38</v>
      </c>
      <c r="G323" t="s">
        <v>1637</v>
      </c>
      <c r="H323" t="str">
        <f t="shared" ref="H323:H386" si="5">G323 &amp; " - "&amp; E323 &amp;" - LOJA " &amp;B323</f>
        <v>REDE 39 - BANDEIRA 39 - LOJA 322</v>
      </c>
      <c r="I323">
        <v>2</v>
      </c>
      <c r="J323" t="s">
        <v>1646</v>
      </c>
      <c r="K323">
        <v>3</v>
      </c>
      <c r="L323" t="s">
        <v>797</v>
      </c>
      <c r="M323">
        <v>3</v>
      </c>
      <c r="N323" t="s">
        <v>43</v>
      </c>
      <c r="O323">
        <v>3</v>
      </c>
      <c r="P323" t="s">
        <v>44</v>
      </c>
      <c r="Q323" t="s">
        <v>43</v>
      </c>
      <c r="R323">
        <v>2</v>
      </c>
      <c r="S323" t="s">
        <v>39</v>
      </c>
      <c r="T323" t="s">
        <v>108</v>
      </c>
      <c r="U323" s="1">
        <v>-23018103</v>
      </c>
      <c r="V323" s="1">
        <v>-43479397</v>
      </c>
      <c r="W323" t="s">
        <v>109</v>
      </c>
      <c r="X323">
        <v>1</v>
      </c>
      <c r="Y323" t="s">
        <v>34</v>
      </c>
    </row>
    <row r="324" spans="1:25" x14ac:dyDescent="0.3">
      <c r="A324">
        <v>323</v>
      </c>
      <c r="B324">
        <v>323</v>
      </c>
      <c r="C324">
        <v>61585865231714</v>
      </c>
      <c r="D324">
        <v>39</v>
      </c>
      <c r="E324" t="s">
        <v>1600</v>
      </c>
      <c r="F324">
        <v>38</v>
      </c>
      <c r="G324" t="s">
        <v>1637</v>
      </c>
      <c r="H324" t="str">
        <f t="shared" si="5"/>
        <v>REDE 39 - BANDEIRA 39 - LOJA 323</v>
      </c>
      <c r="I324">
        <v>2</v>
      </c>
      <c r="J324" t="s">
        <v>1646</v>
      </c>
      <c r="K324">
        <v>3</v>
      </c>
      <c r="L324" t="s">
        <v>798</v>
      </c>
      <c r="M324">
        <v>2</v>
      </c>
      <c r="N324" t="s">
        <v>36</v>
      </c>
      <c r="O324">
        <v>2</v>
      </c>
      <c r="P324" t="s">
        <v>37</v>
      </c>
      <c r="Q324" t="s">
        <v>38</v>
      </c>
      <c r="R324">
        <v>2</v>
      </c>
      <c r="S324" t="s">
        <v>39</v>
      </c>
      <c r="T324" t="s">
        <v>799</v>
      </c>
      <c r="U324" s="1">
        <v>-235590838</v>
      </c>
      <c r="V324" s="1">
        <v>-465532421</v>
      </c>
      <c r="W324" t="s">
        <v>800</v>
      </c>
      <c r="X324">
        <v>1</v>
      </c>
      <c r="Y324" t="s">
        <v>34</v>
      </c>
    </row>
    <row r="325" spans="1:25" x14ac:dyDescent="0.3">
      <c r="A325">
        <v>324</v>
      </c>
      <c r="B325">
        <v>324</v>
      </c>
      <c r="C325">
        <v>61585865203508</v>
      </c>
      <c r="D325">
        <v>39</v>
      </c>
      <c r="E325" t="s">
        <v>1600</v>
      </c>
      <c r="F325">
        <v>38</v>
      </c>
      <c r="G325" t="s">
        <v>1637</v>
      </c>
      <c r="H325" t="str">
        <f t="shared" si="5"/>
        <v>REDE 39 - BANDEIRA 39 - LOJA 324</v>
      </c>
      <c r="I325">
        <v>2</v>
      </c>
      <c r="J325" t="s">
        <v>1646</v>
      </c>
      <c r="K325">
        <v>3</v>
      </c>
      <c r="L325" t="s">
        <v>801</v>
      </c>
      <c r="M325">
        <v>2</v>
      </c>
      <c r="N325" t="s">
        <v>36</v>
      </c>
      <c r="O325">
        <v>2</v>
      </c>
      <c r="P325" t="s">
        <v>37</v>
      </c>
      <c r="Q325" t="s">
        <v>38</v>
      </c>
      <c r="R325">
        <v>2</v>
      </c>
      <c r="S325" t="s">
        <v>39</v>
      </c>
      <c r="T325" t="s">
        <v>802</v>
      </c>
      <c r="U325" s="1">
        <v>-235629782</v>
      </c>
      <c r="V325" s="1">
        <v>-466473225</v>
      </c>
      <c r="W325" t="s">
        <v>803</v>
      </c>
      <c r="X325">
        <v>1</v>
      </c>
      <c r="Y325" t="s">
        <v>34</v>
      </c>
    </row>
    <row r="326" spans="1:25" x14ac:dyDescent="0.3">
      <c r="A326">
        <v>325</v>
      </c>
      <c r="B326">
        <v>325</v>
      </c>
      <c r="C326">
        <v>61585865114084</v>
      </c>
      <c r="D326">
        <v>39</v>
      </c>
      <c r="E326" t="s">
        <v>1600</v>
      </c>
      <c r="F326">
        <v>38</v>
      </c>
      <c r="G326" t="s">
        <v>1637</v>
      </c>
      <c r="H326" t="str">
        <f t="shared" si="5"/>
        <v>REDE 39 - BANDEIRA 39 - LOJA 325</v>
      </c>
      <c r="I326">
        <v>2</v>
      </c>
      <c r="J326" t="s">
        <v>1646</v>
      </c>
      <c r="K326">
        <v>3</v>
      </c>
      <c r="L326" t="s">
        <v>804</v>
      </c>
      <c r="M326">
        <v>2</v>
      </c>
      <c r="N326" t="s">
        <v>36</v>
      </c>
      <c r="O326">
        <v>2</v>
      </c>
      <c r="P326" t="s">
        <v>37</v>
      </c>
      <c r="Q326" t="s">
        <v>38</v>
      </c>
      <c r="R326">
        <v>2</v>
      </c>
      <c r="S326" t="s">
        <v>39</v>
      </c>
      <c r="T326" t="s">
        <v>805</v>
      </c>
      <c r="U326" s="1">
        <v>-236387149</v>
      </c>
      <c r="V326" s="1">
        <v>-467119475</v>
      </c>
      <c r="W326" t="s">
        <v>806</v>
      </c>
      <c r="X326">
        <v>1</v>
      </c>
      <c r="Y326" t="s">
        <v>34</v>
      </c>
    </row>
    <row r="327" spans="1:25" x14ac:dyDescent="0.3">
      <c r="A327">
        <v>326</v>
      </c>
      <c r="B327">
        <v>326</v>
      </c>
      <c r="C327">
        <v>61585865217304</v>
      </c>
      <c r="D327">
        <v>39</v>
      </c>
      <c r="E327" t="s">
        <v>1600</v>
      </c>
      <c r="F327">
        <v>38</v>
      </c>
      <c r="G327" t="s">
        <v>1637</v>
      </c>
      <c r="H327" t="str">
        <f t="shared" si="5"/>
        <v>REDE 39 - BANDEIRA 39 - LOJA 326</v>
      </c>
      <c r="I327">
        <v>2</v>
      </c>
      <c r="J327" t="s">
        <v>1646</v>
      </c>
      <c r="K327">
        <v>3</v>
      </c>
      <c r="L327" t="s">
        <v>807</v>
      </c>
      <c r="M327">
        <v>2</v>
      </c>
      <c r="N327" t="s">
        <v>36</v>
      </c>
      <c r="O327">
        <v>2</v>
      </c>
      <c r="P327" t="s">
        <v>37</v>
      </c>
      <c r="Q327" t="s">
        <v>38</v>
      </c>
      <c r="R327">
        <v>2</v>
      </c>
      <c r="S327" t="s">
        <v>39</v>
      </c>
      <c r="T327" t="s">
        <v>767</v>
      </c>
      <c r="U327" s="1">
        <v>-236556703</v>
      </c>
      <c r="V327" s="1">
        <v>-466926133</v>
      </c>
      <c r="W327" t="s">
        <v>768</v>
      </c>
      <c r="X327">
        <v>1</v>
      </c>
      <c r="Y327" t="s">
        <v>34</v>
      </c>
    </row>
    <row r="328" spans="1:25" x14ac:dyDescent="0.3">
      <c r="A328">
        <v>327</v>
      </c>
      <c r="B328">
        <v>327</v>
      </c>
      <c r="C328">
        <v>61585865181350</v>
      </c>
      <c r="D328">
        <v>39</v>
      </c>
      <c r="E328" t="s">
        <v>1600</v>
      </c>
      <c r="F328">
        <v>38</v>
      </c>
      <c r="G328" t="s">
        <v>1637</v>
      </c>
      <c r="H328" t="str">
        <f t="shared" si="5"/>
        <v>REDE 39 - BANDEIRA 39 - LOJA 327</v>
      </c>
      <c r="I328">
        <v>2</v>
      </c>
      <c r="J328" t="s">
        <v>1646</v>
      </c>
      <c r="K328">
        <v>3</v>
      </c>
      <c r="L328" t="s">
        <v>808</v>
      </c>
      <c r="M328">
        <v>2</v>
      </c>
      <c r="N328" t="s">
        <v>36</v>
      </c>
      <c r="O328">
        <v>2</v>
      </c>
      <c r="P328" t="s">
        <v>37</v>
      </c>
      <c r="Q328" t="s">
        <v>38</v>
      </c>
      <c r="R328">
        <v>2</v>
      </c>
      <c r="S328" t="s">
        <v>39</v>
      </c>
      <c r="T328" t="s">
        <v>809</v>
      </c>
      <c r="U328" s="1">
        <v>-236230611</v>
      </c>
      <c r="V328" s="1">
        <v>-466363701999999</v>
      </c>
      <c r="W328" t="s">
        <v>810</v>
      </c>
      <c r="X328">
        <v>1</v>
      </c>
      <c r="Y328" t="s">
        <v>34</v>
      </c>
    </row>
    <row r="329" spans="1:25" x14ac:dyDescent="0.3">
      <c r="A329">
        <v>328</v>
      </c>
      <c r="B329">
        <v>328</v>
      </c>
      <c r="C329">
        <v>61585865137297</v>
      </c>
      <c r="D329">
        <v>39</v>
      </c>
      <c r="E329" t="s">
        <v>1600</v>
      </c>
      <c r="F329">
        <v>38</v>
      </c>
      <c r="G329" t="s">
        <v>1637</v>
      </c>
      <c r="H329" t="str">
        <f t="shared" si="5"/>
        <v>REDE 39 - BANDEIRA 39 - LOJA 328</v>
      </c>
      <c r="I329">
        <v>2</v>
      </c>
      <c r="J329" t="s">
        <v>1646</v>
      </c>
      <c r="K329">
        <v>3</v>
      </c>
      <c r="L329" t="s">
        <v>811</v>
      </c>
      <c r="M329">
        <v>2</v>
      </c>
      <c r="N329" t="s">
        <v>36</v>
      </c>
      <c r="O329">
        <v>2</v>
      </c>
      <c r="P329" t="s">
        <v>37</v>
      </c>
      <c r="Q329" t="s">
        <v>38</v>
      </c>
      <c r="R329">
        <v>2</v>
      </c>
      <c r="S329" t="s">
        <v>39</v>
      </c>
      <c r="T329" t="s">
        <v>812</v>
      </c>
      <c r="U329" s="1">
        <v>-23641093</v>
      </c>
      <c r="V329" s="1">
        <v>-46667052</v>
      </c>
      <c r="W329" t="s">
        <v>813</v>
      </c>
      <c r="X329">
        <v>1</v>
      </c>
      <c r="Y329" t="s">
        <v>34</v>
      </c>
    </row>
    <row r="330" spans="1:25" x14ac:dyDescent="0.3">
      <c r="A330">
        <v>329</v>
      </c>
      <c r="B330">
        <v>329</v>
      </c>
      <c r="C330">
        <v>61585865137378</v>
      </c>
      <c r="D330">
        <v>39</v>
      </c>
      <c r="E330" t="s">
        <v>1600</v>
      </c>
      <c r="F330">
        <v>38</v>
      </c>
      <c r="G330" t="s">
        <v>1637</v>
      </c>
      <c r="H330" t="str">
        <f t="shared" si="5"/>
        <v>REDE 39 - BANDEIRA 39 - LOJA 329</v>
      </c>
      <c r="I330">
        <v>2</v>
      </c>
      <c r="J330" t="s">
        <v>1646</v>
      </c>
      <c r="K330">
        <v>3</v>
      </c>
      <c r="L330" t="s">
        <v>814</v>
      </c>
      <c r="M330">
        <v>2</v>
      </c>
      <c r="N330" t="s">
        <v>36</v>
      </c>
      <c r="O330">
        <v>2</v>
      </c>
      <c r="P330" t="s">
        <v>37</v>
      </c>
      <c r="Q330" t="s">
        <v>38</v>
      </c>
      <c r="R330">
        <v>2</v>
      </c>
      <c r="S330" t="s">
        <v>39</v>
      </c>
      <c r="T330" t="s">
        <v>815</v>
      </c>
      <c r="U330" s="1">
        <v>-236025073</v>
      </c>
      <c r="V330" s="1">
        <v>-466401223</v>
      </c>
      <c r="W330" t="s">
        <v>505</v>
      </c>
      <c r="X330">
        <v>1</v>
      </c>
      <c r="Y330" t="s">
        <v>34</v>
      </c>
    </row>
    <row r="331" spans="1:25" x14ac:dyDescent="0.3">
      <c r="A331">
        <v>330</v>
      </c>
      <c r="B331">
        <v>330</v>
      </c>
      <c r="C331">
        <v>61585865099263</v>
      </c>
      <c r="D331">
        <v>39</v>
      </c>
      <c r="E331" t="s">
        <v>1600</v>
      </c>
      <c r="F331">
        <v>38</v>
      </c>
      <c r="G331" t="s">
        <v>1637</v>
      </c>
      <c r="H331" t="str">
        <f t="shared" si="5"/>
        <v>REDE 39 - BANDEIRA 39 - LOJA 330</v>
      </c>
      <c r="I331">
        <v>2</v>
      </c>
      <c r="J331" t="s">
        <v>1646</v>
      </c>
      <c r="K331">
        <v>3</v>
      </c>
      <c r="L331" t="s">
        <v>816</v>
      </c>
      <c r="M331">
        <v>2</v>
      </c>
      <c r="N331" t="s">
        <v>36</v>
      </c>
      <c r="O331">
        <v>2</v>
      </c>
      <c r="P331" t="s">
        <v>37</v>
      </c>
      <c r="Q331" t="s">
        <v>38</v>
      </c>
      <c r="R331">
        <v>2</v>
      </c>
      <c r="S331" t="s">
        <v>39</v>
      </c>
      <c r="T331" t="s">
        <v>817</v>
      </c>
      <c r="U331" s="1">
        <v>-236023575</v>
      </c>
      <c r="V331" s="1">
        <v>-466205572999999</v>
      </c>
      <c r="W331" t="s">
        <v>264</v>
      </c>
      <c r="X331">
        <v>1</v>
      </c>
      <c r="Y331" t="s">
        <v>34</v>
      </c>
    </row>
    <row r="332" spans="1:25" x14ac:dyDescent="0.3">
      <c r="A332">
        <v>331</v>
      </c>
      <c r="B332">
        <v>331</v>
      </c>
      <c r="C332">
        <v>61585865064800</v>
      </c>
      <c r="D332">
        <v>39</v>
      </c>
      <c r="E332" t="s">
        <v>1600</v>
      </c>
      <c r="F332">
        <v>38</v>
      </c>
      <c r="G332" t="s">
        <v>1637</v>
      </c>
      <c r="H332" t="str">
        <f t="shared" si="5"/>
        <v>REDE 39 - BANDEIRA 39 - LOJA 331</v>
      </c>
      <c r="I332">
        <v>2</v>
      </c>
      <c r="J332" t="s">
        <v>1646</v>
      </c>
      <c r="K332">
        <v>3</v>
      </c>
      <c r="L332" t="s">
        <v>818</v>
      </c>
      <c r="M332">
        <v>2</v>
      </c>
      <c r="N332" t="s">
        <v>36</v>
      </c>
      <c r="O332">
        <v>2</v>
      </c>
      <c r="P332" t="s">
        <v>37</v>
      </c>
      <c r="Q332" t="s">
        <v>38</v>
      </c>
      <c r="R332">
        <v>2</v>
      </c>
      <c r="S332" t="s">
        <v>39</v>
      </c>
      <c r="T332" t="s">
        <v>819</v>
      </c>
      <c r="U332" s="1">
        <v>-234976886</v>
      </c>
      <c r="V332" s="1">
        <v>-466122035</v>
      </c>
      <c r="W332" t="s">
        <v>496</v>
      </c>
      <c r="X332">
        <v>1</v>
      </c>
      <c r="Y332" t="s">
        <v>34</v>
      </c>
    </row>
    <row r="333" spans="1:25" x14ac:dyDescent="0.3">
      <c r="A333">
        <v>332</v>
      </c>
      <c r="B333">
        <v>332</v>
      </c>
      <c r="C333">
        <v>15796221000195</v>
      </c>
      <c r="D333">
        <v>30</v>
      </c>
      <c r="E333" t="s">
        <v>1601</v>
      </c>
      <c r="F333">
        <v>30</v>
      </c>
      <c r="G333" t="s">
        <v>1638</v>
      </c>
      <c r="H333" t="str">
        <f t="shared" si="5"/>
        <v>REDE 30 - BANDEIRA 30 - LOJA 332</v>
      </c>
      <c r="I333">
        <v>1</v>
      </c>
      <c r="J333" t="s">
        <v>26</v>
      </c>
      <c r="K333">
        <v>2</v>
      </c>
      <c r="L333" t="s">
        <v>820</v>
      </c>
      <c r="M333">
        <v>6</v>
      </c>
      <c r="N333" t="s">
        <v>236</v>
      </c>
      <c r="O333">
        <v>5</v>
      </c>
      <c r="P333" t="s">
        <v>237</v>
      </c>
      <c r="Q333" t="s">
        <v>238</v>
      </c>
      <c r="R333">
        <v>4</v>
      </c>
      <c r="S333" t="s">
        <v>239</v>
      </c>
      <c r="T333" t="s">
        <v>520</v>
      </c>
      <c r="U333" s="1">
        <v>-37475681</v>
      </c>
      <c r="V333" s="1">
        <v>-384964255</v>
      </c>
      <c r="W333" t="s">
        <v>241</v>
      </c>
      <c r="X333">
        <v>1</v>
      </c>
      <c r="Y333" t="s">
        <v>34</v>
      </c>
    </row>
    <row r="334" spans="1:25" x14ac:dyDescent="0.3">
      <c r="A334">
        <v>333</v>
      </c>
      <c r="B334">
        <v>333</v>
      </c>
      <c r="C334">
        <v>5528001000127</v>
      </c>
      <c r="D334">
        <v>31</v>
      </c>
      <c r="E334" t="s">
        <v>1602</v>
      </c>
      <c r="F334">
        <v>31</v>
      </c>
      <c r="G334" t="s">
        <v>1639</v>
      </c>
      <c r="H334" t="str">
        <f t="shared" si="5"/>
        <v>REDE 31 - BANDEIRA 31 - LOJA 333</v>
      </c>
      <c r="I334">
        <v>1</v>
      </c>
      <c r="J334" t="s">
        <v>26</v>
      </c>
      <c r="K334">
        <v>2</v>
      </c>
      <c r="L334" t="s">
        <v>821</v>
      </c>
      <c r="M334">
        <v>6</v>
      </c>
      <c r="N334" t="s">
        <v>236</v>
      </c>
      <c r="O334">
        <v>5</v>
      </c>
      <c r="P334" t="s">
        <v>237</v>
      </c>
      <c r="Q334" t="s">
        <v>238</v>
      </c>
      <c r="R334">
        <v>4</v>
      </c>
      <c r="S334" t="s">
        <v>239</v>
      </c>
      <c r="T334" t="s">
        <v>822</v>
      </c>
      <c r="U334" s="1">
        <v>-3737276</v>
      </c>
      <c r="V334" s="1">
        <v>-38492459</v>
      </c>
      <c r="W334" t="s">
        <v>302</v>
      </c>
      <c r="X334">
        <v>1</v>
      </c>
      <c r="Y334" t="s">
        <v>34</v>
      </c>
    </row>
    <row r="335" spans="1:25" x14ac:dyDescent="0.3">
      <c r="A335">
        <v>334</v>
      </c>
      <c r="B335">
        <v>334</v>
      </c>
      <c r="C335">
        <v>21543965000281</v>
      </c>
      <c r="D335">
        <v>31</v>
      </c>
      <c r="E335" t="s">
        <v>1602</v>
      </c>
      <c r="F335">
        <v>31</v>
      </c>
      <c r="G335" t="s">
        <v>1639</v>
      </c>
      <c r="H335" t="str">
        <f t="shared" si="5"/>
        <v>REDE 31 - BANDEIRA 31 - LOJA 334</v>
      </c>
      <c r="I335">
        <v>1</v>
      </c>
      <c r="J335" t="s">
        <v>26</v>
      </c>
      <c r="K335">
        <v>2</v>
      </c>
      <c r="L335" t="s">
        <v>312</v>
      </c>
      <c r="M335">
        <v>6</v>
      </c>
      <c r="N335" t="s">
        <v>236</v>
      </c>
      <c r="O335">
        <v>5</v>
      </c>
      <c r="P335" t="s">
        <v>237</v>
      </c>
      <c r="Q335" t="s">
        <v>238</v>
      </c>
      <c r="R335">
        <v>4</v>
      </c>
      <c r="S335" t="s">
        <v>239</v>
      </c>
      <c r="T335" t="s">
        <v>823</v>
      </c>
      <c r="U335" s="1">
        <v>-375796</v>
      </c>
      <c r="V335" s="1">
        <v>-3848817</v>
      </c>
      <c r="W335" t="s">
        <v>314</v>
      </c>
      <c r="X335">
        <v>1</v>
      </c>
      <c r="Y335" t="s">
        <v>34</v>
      </c>
    </row>
    <row r="336" spans="1:25" x14ac:dyDescent="0.3">
      <c r="A336">
        <v>335</v>
      </c>
      <c r="B336">
        <v>335</v>
      </c>
      <c r="C336">
        <v>21543965000109</v>
      </c>
      <c r="D336">
        <v>31</v>
      </c>
      <c r="E336" t="s">
        <v>1602</v>
      </c>
      <c r="F336">
        <v>31</v>
      </c>
      <c r="G336" t="s">
        <v>1639</v>
      </c>
      <c r="H336" t="str">
        <f t="shared" si="5"/>
        <v>REDE 31 - BANDEIRA 31 - LOJA 335</v>
      </c>
      <c r="I336">
        <v>1</v>
      </c>
      <c r="J336" t="s">
        <v>26</v>
      </c>
      <c r="K336">
        <v>2</v>
      </c>
      <c r="L336" t="s">
        <v>824</v>
      </c>
      <c r="M336">
        <v>6</v>
      </c>
      <c r="N336" t="s">
        <v>236</v>
      </c>
      <c r="O336">
        <v>5</v>
      </c>
      <c r="P336" t="s">
        <v>237</v>
      </c>
      <c r="Q336" t="s">
        <v>238</v>
      </c>
      <c r="R336">
        <v>4</v>
      </c>
      <c r="S336" t="s">
        <v>239</v>
      </c>
      <c r="T336" t="s">
        <v>825</v>
      </c>
      <c r="U336" s="1">
        <v>-372546789999999</v>
      </c>
      <c r="V336" s="1">
        <v>-385008521</v>
      </c>
      <c r="W336" t="s">
        <v>305</v>
      </c>
      <c r="X336">
        <v>1</v>
      </c>
      <c r="Y336" t="s">
        <v>34</v>
      </c>
    </row>
    <row r="337" spans="1:25" x14ac:dyDescent="0.3">
      <c r="A337">
        <v>336</v>
      </c>
      <c r="B337">
        <v>336</v>
      </c>
      <c r="C337">
        <v>21543965000362</v>
      </c>
      <c r="D337">
        <v>31</v>
      </c>
      <c r="E337" t="s">
        <v>1602</v>
      </c>
      <c r="F337">
        <v>31</v>
      </c>
      <c r="G337" t="s">
        <v>1639</v>
      </c>
      <c r="H337" t="str">
        <f t="shared" si="5"/>
        <v>REDE 31 - BANDEIRA 31 - LOJA 336</v>
      </c>
      <c r="I337">
        <v>1</v>
      </c>
      <c r="J337" t="s">
        <v>26</v>
      </c>
      <c r="K337">
        <v>2</v>
      </c>
      <c r="L337" t="s">
        <v>731</v>
      </c>
      <c r="M337">
        <v>6</v>
      </c>
      <c r="N337" t="s">
        <v>236</v>
      </c>
      <c r="O337">
        <v>5</v>
      </c>
      <c r="P337" t="s">
        <v>237</v>
      </c>
      <c r="Q337" t="s">
        <v>238</v>
      </c>
      <c r="R337">
        <v>4</v>
      </c>
      <c r="S337" t="s">
        <v>239</v>
      </c>
      <c r="T337" t="s">
        <v>826</v>
      </c>
      <c r="U337" s="1">
        <v>-37647341</v>
      </c>
      <c r="V337" s="1">
        <v>-385744554</v>
      </c>
      <c r="W337" t="s">
        <v>733</v>
      </c>
      <c r="X337">
        <v>1</v>
      </c>
      <c r="Y337" t="s">
        <v>34</v>
      </c>
    </row>
    <row r="338" spans="1:25" x14ac:dyDescent="0.3">
      <c r="A338">
        <v>337</v>
      </c>
      <c r="B338">
        <v>337</v>
      </c>
      <c r="C338">
        <v>41711232000135</v>
      </c>
      <c r="D338">
        <v>32</v>
      </c>
      <c r="E338" t="s">
        <v>1603</v>
      </c>
      <c r="F338">
        <v>32</v>
      </c>
      <c r="G338" t="s">
        <v>1640</v>
      </c>
      <c r="H338" t="str">
        <f t="shared" si="5"/>
        <v>REDE 32 - BANDEIRA 32 - LOJA 337</v>
      </c>
      <c r="I338">
        <v>1</v>
      </c>
      <c r="J338" t="s">
        <v>26</v>
      </c>
      <c r="K338">
        <v>1</v>
      </c>
      <c r="L338" t="s">
        <v>827</v>
      </c>
      <c r="M338">
        <v>1</v>
      </c>
      <c r="N338" t="s">
        <v>28</v>
      </c>
      <c r="O338">
        <v>1</v>
      </c>
      <c r="P338" t="s">
        <v>29</v>
      </c>
      <c r="Q338" t="s">
        <v>30</v>
      </c>
      <c r="R338">
        <v>1</v>
      </c>
      <c r="S338" t="s">
        <v>31</v>
      </c>
      <c r="T338" t="s">
        <v>828</v>
      </c>
      <c r="U338" s="1">
        <v>-254492908</v>
      </c>
      <c r="V338" s="1">
        <v>-492977863</v>
      </c>
      <c r="W338" t="s">
        <v>773</v>
      </c>
      <c r="X338">
        <v>1</v>
      </c>
      <c r="Y338" t="s">
        <v>34</v>
      </c>
    </row>
    <row r="339" spans="1:25" x14ac:dyDescent="0.3">
      <c r="A339">
        <v>338</v>
      </c>
      <c r="B339">
        <v>338</v>
      </c>
      <c r="C339">
        <v>42657490000143</v>
      </c>
      <c r="D339">
        <v>32</v>
      </c>
      <c r="E339" t="s">
        <v>1603</v>
      </c>
      <c r="F339">
        <v>32</v>
      </c>
      <c r="G339" t="s">
        <v>1640</v>
      </c>
      <c r="H339" t="str">
        <f t="shared" si="5"/>
        <v>REDE 32 - BANDEIRA 32 - LOJA 338</v>
      </c>
      <c r="I339">
        <v>1</v>
      </c>
      <c r="J339" t="s">
        <v>26</v>
      </c>
      <c r="K339">
        <v>1</v>
      </c>
      <c r="L339" t="s">
        <v>829</v>
      </c>
      <c r="M339">
        <v>1</v>
      </c>
      <c r="N339" t="s">
        <v>28</v>
      </c>
      <c r="O339">
        <v>1</v>
      </c>
      <c r="P339" t="s">
        <v>29</v>
      </c>
      <c r="Q339" t="s">
        <v>30</v>
      </c>
      <c r="R339">
        <v>1</v>
      </c>
      <c r="S339" t="s">
        <v>31</v>
      </c>
      <c r="T339" t="s">
        <v>830</v>
      </c>
      <c r="U339" s="1">
        <v>-254221307</v>
      </c>
      <c r="V339" s="1">
        <v>-493196865</v>
      </c>
      <c r="W339" t="s">
        <v>596</v>
      </c>
      <c r="X339">
        <v>1</v>
      </c>
      <c r="Y339" t="s">
        <v>34</v>
      </c>
    </row>
    <row r="340" spans="1:25" x14ac:dyDescent="0.3">
      <c r="A340">
        <v>339</v>
      </c>
      <c r="B340">
        <v>339</v>
      </c>
      <c r="C340">
        <v>21479648000162</v>
      </c>
      <c r="D340">
        <v>14</v>
      </c>
      <c r="E340" t="s">
        <v>1585</v>
      </c>
      <c r="F340">
        <v>14</v>
      </c>
      <c r="G340" t="s">
        <v>1622</v>
      </c>
      <c r="H340" t="str">
        <f t="shared" si="5"/>
        <v>REDE 14 - BANDEIRA 14 - LOJA 339</v>
      </c>
      <c r="I340">
        <v>1</v>
      </c>
      <c r="J340" t="s">
        <v>26</v>
      </c>
      <c r="K340">
        <v>2</v>
      </c>
      <c r="L340" t="s">
        <v>831</v>
      </c>
      <c r="M340">
        <v>2</v>
      </c>
      <c r="N340" t="s">
        <v>36</v>
      </c>
      <c r="O340">
        <v>2</v>
      </c>
      <c r="P340" t="s">
        <v>37</v>
      </c>
      <c r="Q340" t="s">
        <v>38</v>
      </c>
      <c r="R340">
        <v>2</v>
      </c>
      <c r="S340" t="s">
        <v>39</v>
      </c>
      <c r="T340" t="s">
        <v>832</v>
      </c>
      <c r="U340" s="1">
        <v>-235832088</v>
      </c>
      <c r="V340" s="1">
        <v>-466378484</v>
      </c>
      <c r="W340" t="s">
        <v>264</v>
      </c>
      <c r="X340">
        <v>1</v>
      </c>
      <c r="Y340" t="s">
        <v>34</v>
      </c>
    </row>
    <row r="341" spans="1:25" x14ac:dyDescent="0.3">
      <c r="A341">
        <v>340</v>
      </c>
      <c r="B341">
        <v>340</v>
      </c>
      <c r="C341">
        <v>24715702000110</v>
      </c>
      <c r="D341">
        <v>19</v>
      </c>
      <c r="E341" t="s">
        <v>1590</v>
      </c>
      <c r="F341">
        <v>19</v>
      </c>
      <c r="G341" t="s">
        <v>1627</v>
      </c>
      <c r="H341" t="str">
        <f t="shared" si="5"/>
        <v>REDE 19 - BANDEIRA 19 - LOJA 340</v>
      </c>
      <c r="I341">
        <v>1</v>
      </c>
      <c r="J341" t="s">
        <v>26</v>
      </c>
      <c r="K341">
        <v>2</v>
      </c>
      <c r="L341" t="s">
        <v>833</v>
      </c>
      <c r="M341">
        <v>2</v>
      </c>
      <c r="N341" t="s">
        <v>36</v>
      </c>
      <c r="O341">
        <v>2</v>
      </c>
      <c r="P341" t="s">
        <v>37</v>
      </c>
      <c r="Q341" t="s">
        <v>38</v>
      </c>
      <c r="R341">
        <v>2</v>
      </c>
      <c r="S341" t="s">
        <v>39</v>
      </c>
      <c r="T341" t="s">
        <v>834</v>
      </c>
      <c r="U341" s="1">
        <v>-235577116</v>
      </c>
      <c r="V341" s="1">
        <v>-465958255</v>
      </c>
      <c r="W341" t="s">
        <v>783</v>
      </c>
      <c r="X341">
        <v>1</v>
      </c>
      <c r="Y341" t="s">
        <v>34</v>
      </c>
    </row>
    <row r="342" spans="1:25" x14ac:dyDescent="0.3">
      <c r="A342">
        <v>341</v>
      </c>
      <c r="B342">
        <v>341</v>
      </c>
      <c r="C342">
        <v>61412110108274</v>
      </c>
      <c r="D342">
        <v>33</v>
      </c>
      <c r="E342" t="s">
        <v>1604</v>
      </c>
      <c r="F342">
        <v>33</v>
      </c>
      <c r="G342" t="s">
        <v>1641</v>
      </c>
      <c r="H342" t="str">
        <f t="shared" si="5"/>
        <v>REDE 33 - BANDEIRA 33 - LOJA 341</v>
      </c>
      <c r="I342">
        <v>2</v>
      </c>
      <c r="J342" t="s">
        <v>1646</v>
      </c>
      <c r="K342">
        <v>3</v>
      </c>
      <c r="L342" t="s">
        <v>835</v>
      </c>
      <c r="M342">
        <v>2</v>
      </c>
      <c r="N342" t="s">
        <v>36</v>
      </c>
      <c r="O342">
        <v>2</v>
      </c>
      <c r="P342" t="s">
        <v>37</v>
      </c>
      <c r="Q342" t="s">
        <v>38</v>
      </c>
      <c r="R342">
        <v>2</v>
      </c>
      <c r="S342" t="s">
        <v>39</v>
      </c>
      <c r="T342" t="s">
        <v>836</v>
      </c>
      <c r="U342" s="1">
        <v>-235813423</v>
      </c>
      <c r="V342" s="1">
        <v>-466637256</v>
      </c>
      <c r="W342" t="s">
        <v>163</v>
      </c>
      <c r="X342">
        <v>1</v>
      </c>
      <c r="Y342" t="s">
        <v>34</v>
      </c>
    </row>
    <row r="343" spans="1:25" x14ac:dyDescent="0.3">
      <c r="A343">
        <v>342</v>
      </c>
      <c r="B343">
        <v>342</v>
      </c>
      <c r="C343">
        <v>61412110087099</v>
      </c>
      <c r="D343">
        <v>33</v>
      </c>
      <c r="E343" t="s">
        <v>1604</v>
      </c>
      <c r="F343">
        <v>33</v>
      </c>
      <c r="G343" t="s">
        <v>1641</v>
      </c>
      <c r="H343" t="str">
        <f t="shared" si="5"/>
        <v>REDE 33 - BANDEIRA 33 - LOJA 342</v>
      </c>
      <c r="I343">
        <v>2</v>
      </c>
      <c r="J343" t="s">
        <v>1646</v>
      </c>
      <c r="K343">
        <v>3</v>
      </c>
      <c r="L343" t="s">
        <v>837</v>
      </c>
      <c r="M343">
        <v>2</v>
      </c>
      <c r="N343" t="s">
        <v>36</v>
      </c>
      <c r="O343">
        <v>2</v>
      </c>
      <c r="P343" t="s">
        <v>37</v>
      </c>
      <c r="Q343" t="s">
        <v>38</v>
      </c>
      <c r="R343">
        <v>2</v>
      </c>
      <c r="S343" t="s">
        <v>39</v>
      </c>
      <c r="T343" t="s">
        <v>838</v>
      </c>
      <c r="U343" s="1">
        <v>-235970241</v>
      </c>
      <c r="V343" s="1">
        <v>-466564796</v>
      </c>
      <c r="W343" t="s">
        <v>423</v>
      </c>
      <c r="X343">
        <v>1</v>
      </c>
      <c r="Y343" t="s">
        <v>34</v>
      </c>
    </row>
    <row r="344" spans="1:25" x14ac:dyDescent="0.3">
      <c r="A344">
        <v>343</v>
      </c>
      <c r="B344">
        <v>343</v>
      </c>
      <c r="C344">
        <v>61412110093226</v>
      </c>
      <c r="D344">
        <v>33</v>
      </c>
      <c r="E344" t="s">
        <v>1604</v>
      </c>
      <c r="F344">
        <v>33</v>
      </c>
      <c r="G344" t="s">
        <v>1641</v>
      </c>
      <c r="H344" t="str">
        <f t="shared" si="5"/>
        <v>REDE 33 - BANDEIRA 33 - LOJA 343</v>
      </c>
      <c r="I344">
        <v>2</v>
      </c>
      <c r="J344" t="s">
        <v>1646</v>
      </c>
      <c r="K344">
        <v>3</v>
      </c>
      <c r="L344" t="s">
        <v>839</v>
      </c>
      <c r="M344">
        <v>2</v>
      </c>
      <c r="N344" t="s">
        <v>36</v>
      </c>
      <c r="O344">
        <v>2</v>
      </c>
      <c r="P344" t="s">
        <v>37</v>
      </c>
      <c r="Q344" t="s">
        <v>38</v>
      </c>
      <c r="R344">
        <v>2</v>
      </c>
      <c r="S344" t="s">
        <v>39</v>
      </c>
      <c r="T344" t="s">
        <v>840</v>
      </c>
      <c r="U344" s="1">
        <v>-235545962</v>
      </c>
      <c r="V344" s="1">
        <v>-466618492</v>
      </c>
      <c r="W344" t="s">
        <v>841</v>
      </c>
      <c r="X344">
        <v>1</v>
      </c>
      <c r="Y344" t="s">
        <v>34</v>
      </c>
    </row>
    <row r="345" spans="1:25" x14ac:dyDescent="0.3">
      <c r="A345">
        <v>344</v>
      </c>
      <c r="B345">
        <v>344</v>
      </c>
      <c r="C345">
        <v>61412110095946</v>
      </c>
      <c r="D345">
        <v>33</v>
      </c>
      <c r="E345" t="s">
        <v>1604</v>
      </c>
      <c r="F345">
        <v>33</v>
      </c>
      <c r="G345" t="s">
        <v>1641</v>
      </c>
      <c r="H345" t="str">
        <f t="shared" si="5"/>
        <v>REDE 33 - BANDEIRA 33 - LOJA 344</v>
      </c>
      <c r="I345">
        <v>2</v>
      </c>
      <c r="J345" t="s">
        <v>1646</v>
      </c>
      <c r="K345">
        <v>3</v>
      </c>
      <c r="L345" t="s">
        <v>842</v>
      </c>
      <c r="M345">
        <v>2</v>
      </c>
      <c r="N345" t="s">
        <v>36</v>
      </c>
      <c r="O345">
        <v>2</v>
      </c>
      <c r="P345" t="s">
        <v>37</v>
      </c>
      <c r="Q345" t="s">
        <v>38</v>
      </c>
      <c r="R345">
        <v>2</v>
      </c>
      <c r="S345" t="s">
        <v>39</v>
      </c>
      <c r="T345" t="s">
        <v>843</v>
      </c>
      <c r="U345" s="1">
        <v>-235635897</v>
      </c>
      <c r="V345" s="1">
        <v>-466409257</v>
      </c>
      <c r="W345" t="s">
        <v>433</v>
      </c>
      <c r="X345">
        <v>1</v>
      </c>
      <c r="Y345" t="s">
        <v>34</v>
      </c>
    </row>
    <row r="346" spans="1:25" x14ac:dyDescent="0.3">
      <c r="A346">
        <v>345</v>
      </c>
      <c r="B346">
        <v>345</v>
      </c>
      <c r="C346">
        <v>61412110107545</v>
      </c>
      <c r="D346">
        <v>33</v>
      </c>
      <c r="E346" t="s">
        <v>1604</v>
      </c>
      <c r="F346">
        <v>33</v>
      </c>
      <c r="G346" t="s">
        <v>1641</v>
      </c>
      <c r="H346" t="str">
        <f t="shared" si="5"/>
        <v>REDE 33 - BANDEIRA 33 - LOJA 345</v>
      </c>
      <c r="I346">
        <v>2</v>
      </c>
      <c r="J346" t="s">
        <v>1646</v>
      </c>
      <c r="K346">
        <v>3</v>
      </c>
      <c r="L346" t="s">
        <v>844</v>
      </c>
      <c r="M346">
        <v>2</v>
      </c>
      <c r="N346" t="s">
        <v>36</v>
      </c>
      <c r="O346">
        <v>2</v>
      </c>
      <c r="P346" t="s">
        <v>37</v>
      </c>
      <c r="Q346" t="s">
        <v>38</v>
      </c>
      <c r="R346">
        <v>2</v>
      </c>
      <c r="S346" t="s">
        <v>39</v>
      </c>
      <c r="T346" t="s">
        <v>845</v>
      </c>
      <c r="U346" s="1">
        <v>-236025373</v>
      </c>
      <c r="V346" s="1">
        <v>-466617113999999</v>
      </c>
      <c r="W346" t="s">
        <v>423</v>
      </c>
      <c r="X346">
        <v>1</v>
      </c>
      <c r="Y346" t="s">
        <v>34</v>
      </c>
    </row>
    <row r="347" spans="1:25" x14ac:dyDescent="0.3">
      <c r="A347">
        <v>346</v>
      </c>
      <c r="B347">
        <v>346</v>
      </c>
      <c r="C347">
        <v>61412110016078</v>
      </c>
      <c r="D347">
        <v>33</v>
      </c>
      <c r="E347" t="s">
        <v>1604</v>
      </c>
      <c r="F347">
        <v>33</v>
      </c>
      <c r="G347" t="s">
        <v>1641</v>
      </c>
      <c r="H347" t="str">
        <f t="shared" si="5"/>
        <v>REDE 33 - BANDEIRA 33 - LOJA 346</v>
      </c>
      <c r="I347">
        <v>2</v>
      </c>
      <c r="J347" t="s">
        <v>1646</v>
      </c>
      <c r="K347">
        <v>3</v>
      </c>
      <c r="L347" t="s">
        <v>846</v>
      </c>
      <c r="M347">
        <v>2</v>
      </c>
      <c r="N347" t="s">
        <v>36</v>
      </c>
      <c r="O347">
        <v>2</v>
      </c>
      <c r="P347" t="s">
        <v>37</v>
      </c>
      <c r="Q347" t="s">
        <v>38</v>
      </c>
      <c r="R347">
        <v>2</v>
      </c>
      <c r="S347" t="s">
        <v>39</v>
      </c>
      <c r="T347" t="s">
        <v>847</v>
      </c>
      <c r="U347" s="1">
        <v>-236024586</v>
      </c>
      <c r="V347" s="1">
        <v>-466141043</v>
      </c>
      <c r="W347" t="s">
        <v>780</v>
      </c>
      <c r="X347">
        <v>1</v>
      </c>
      <c r="Y347" t="s">
        <v>34</v>
      </c>
    </row>
    <row r="348" spans="1:25" x14ac:dyDescent="0.3">
      <c r="A348">
        <v>347</v>
      </c>
      <c r="B348">
        <v>347</v>
      </c>
      <c r="C348">
        <v>61412110094974</v>
      </c>
      <c r="D348">
        <v>33</v>
      </c>
      <c r="E348" t="s">
        <v>1604</v>
      </c>
      <c r="F348">
        <v>33</v>
      </c>
      <c r="G348" t="s">
        <v>1641</v>
      </c>
      <c r="H348" t="str">
        <f t="shared" si="5"/>
        <v>REDE 33 - BANDEIRA 33 - LOJA 347</v>
      </c>
      <c r="I348">
        <v>2</v>
      </c>
      <c r="J348" t="s">
        <v>1646</v>
      </c>
      <c r="K348">
        <v>3</v>
      </c>
      <c r="L348" t="s">
        <v>848</v>
      </c>
      <c r="M348">
        <v>2</v>
      </c>
      <c r="N348" t="s">
        <v>36</v>
      </c>
      <c r="O348">
        <v>2</v>
      </c>
      <c r="P348" t="s">
        <v>37</v>
      </c>
      <c r="Q348" t="s">
        <v>38</v>
      </c>
      <c r="R348">
        <v>2</v>
      </c>
      <c r="S348" t="s">
        <v>39</v>
      </c>
      <c r="T348" t="s">
        <v>849</v>
      </c>
      <c r="U348" s="1">
        <v>-23608643</v>
      </c>
      <c r="V348" s="1">
        <v>-466605857</v>
      </c>
      <c r="W348" t="s">
        <v>423</v>
      </c>
      <c r="X348">
        <v>1</v>
      </c>
      <c r="Y348" t="s">
        <v>34</v>
      </c>
    </row>
    <row r="349" spans="1:25" x14ac:dyDescent="0.3">
      <c r="A349">
        <v>348</v>
      </c>
      <c r="B349">
        <v>348</v>
      </c>
      <c r="C349">
        <v>61412110044365</v>
      </c>
      <c r="D349">
        <v>33</v>
      </c>
      <c r="E349" t="s">
        <v>1604</v>
      </c>
      <c r="F349">
        <v>33</v>
      </c>
      <c r="G349" t="s">
        <v>1641</v>
      </c>
      <c r="H349" t="str">
        <f t="shared" si="5"/>
        <v>REDE 33 - BANDEIRA 33 - LOJA 348</v>
      </c>
      <c r="I349">
        <v>2</v>
      </c>
      <c r="J349" t="s">
        <v>1646</v>
      </c>
      <c r="K349">
        <v>3</v>
      </c>
      <c r="L349" t="s">
        <v>850</v>
      </c>
      <c r="M349">
        <v>2</v>
      </c>
      <c r="N349" t="s">
        <v>36</v>
      </c>
      <c r="O349">
        <v>2</v>
      </c>
      <c r="P349" t="s">
        <v>37</v>
      </c>
      <c r="Q349" t="s">
        <v>38</v>
      </c>
      <c r="R349">
        <v>2</v>
      </c>
      <c r="S349" t="s">
        <v>39</v>
      </c>
      <c r="T349" t="s">
        <v>851</v>
      </c>
      <c r="U349" s="1">
        <v>-236049945</v>
      </c>
      <c r="V349" s="1">
        <v>-466577254</v>
      </c>
      <c r="W349" t="s">
        <v>852</v>
      </c>
      <c r="X349">
        <v>1</v>
      </c>
      <c r="Y349" t="s">
        <v>34</v>
      </c>
    </row>
    <row r="350" spans="1:25" x14ac:dyDescent="0.3">
      <c r="A350">
        <v>349</v>
      </c>
      <c r="B350">
        <v>349</v>
      </c>
      <c r="C350">
        <v>61412110088818</v>
      </c>
      <c r="D350">
        <v>33</v>
      </c>
      <c r="E350" t="s">
        <v>1604</v>
      </c>
      <c r="F350">
        <v>33</v>
      </c>
      <c r="G350" t="s">
        <v>1641</v>
      </c>
      <c r="H350" t="str">
        <f t="shared" si="5"/>
        <v>REDE 33 - BANDEIRA 33 - LOJA 349</v>
      </c>
      <c r="I350">
        <v>2</v>
      </c>
      <c r="J350" t="s">
        <v>1646</v>
      </c>
      <c r="K350">
        <v>3</v>
      </c>
      <c r="L350" t="s">
        <v>853</v>
      </c>
      <c r="M350">
        <v>2</v>
      </c>
      <c r="N350" t="s">
        <v>36</v>
      </c>
      <c r="O350">
        <v>2</v>
      </c>
      <c r="P350" t="s">
        <v>37</v>
      </c>
      <c r="Q350" t="s">
        <v>38</v>
      </c>
      <c r="R350">
        <v>2</v>
      </c>
      <c r="S350" t="s">
        <v>39</v>
      </c>
      <c r="T350" t="s">
        <v>854</v>
      </c>
      <c r="U350" s="1">
        <v>-236172775</v>
      </c>
      <c r="V350" s="1">
        <v>-467049318</v>
      </c>
      <c r="W350" t="s">
        <v>855</v>
      </c>
      <c r="X350">
        <v>1</v>
      </c>
      <c r="Y350" t="s">
        <v>34</v>
      </c>
    </row>
    <row r="351" spans="1:25" x14ac:dyDescent="0.3">
      <c r="A351">
        <v>350</v>
      </c>
      <c r="B351">
        <v>350</v>
      </c>
      <c r="C351">
        <v>61412110092920</v>
      </c>
      <c r="D351">
        <v>33</v>
      </c>
      <c r="E351" t="s">
        <v>1604</v>
      </c>
      <c r="F351">
        <v>33</v>
      </c>
      <c r="G351" t="s">
        <v>1641</v>
      </c>
      <c r="H351" t="str">
        <f t="shared" si="5"/>
        <v>REDE 33 - BANDEIRA 33 - LOJA 350</v>
      </c>
      <c r="I351">
        <v>2</v>
      </c>
      <c r="J351" t="s">
        <v>1646</v>
      </c>
      <c r="K351">
        <v>3</v>
      </c>
      <c r="L351" t="s">
        <v>856</v>
      </c>
      <c r="M351">
        <v>2</v>
      </c>
      <c r="N351" t="s">
        <v>36</v>
      </c>
      <c r="O351">
        <v>2</v>
      </c>
      <c r="P351" t="s">
        <v>37</v>
      </c>
      <c r="Q351" t="s">
        <v>38</v>
      </c>
      <c r="R351">
        <v>2</v>
      </c>
      <c r="S351" t="s">
        <v>39</v>
      </c>
      <c r="T351" t="s">
        <v>857</v>
      </c>
      <c r="U351" s="1">
        <v>-235656388</v>
      </c>
      <c r="V351" s="1">
        <v>-466532879</v>
      </c>
      <c r="W351" t="s">
        <v>163</v>
      </c>
      <c r="X351">
        <v>1</v>
      </c>
      <c r="Y351" t="s">
        <v>34</v>
      </c>
    </row>
    <row r="352" spans="1:25" x14ac:dyDescent="0.3">
      <c r="A352">
        <v>351</v>
      </c>
      <c r="B352">
        <v>351</v>
      </c>
      <c r="C352">
        <v>61412110082020</v>
      </c>
      <c r="D352">
        <v>33</v>
      </c>
      <c r="E352" t="s">
        <v>1604</v>
      </c>
      <c r="F352">
        <v>33</v>
      </c>
      <c r="G352" t="s">
        <v>1641</v>
      </c>
      <c r="H352" t="str">
        <f t="shared" si="5"/>
        <v>REDE 33 - BANDEIRA 33 - LOJA 351</v>
      </c>
      <c r="I352">
        <v>2</v>
      </c>
      <c r="J352" t="s">
        <v>1646</v>
      </c>
      <c r="K352">
        <v>3</v>
      </c>
      <c r="L352" t="s">
        <v>858</v>
      </c>
      <c r="M352">
        <v>2</v>
      </c>
      <c r="N352" t="s">
        <v>36</v>
      </c>
      <c r="O352">
        <v>2</v>
      </c>
      <c r="P352" t="s">
        <v>37</v>
      </c>
      <c r="Q352" t="s">
        <v>38</v>
      </c>
      <c r="R352">
        <v>2</v>
      </c>
      <c r="S352" t="s">
        <v>39</v>
      </c>
      <c r="T352" t="s">
        <v>859</v>
      </c>
      <c r="U352" s="1">
        <v>-236173653</v>
      </c>
      <c r="V352" s="1">
        <v>-466690889</v>
      </c>
      <c r="W352" t="s">
        <v>468</v>
      </c>
      <c r="X352">
        <v>1</v>
      </c>
      <c r="Y352" t="s">
        <v>34</v>
      </c>
    </row>
    <row r="353" spans="1:25" x14ac:dyDescent="0.3">
      <c r="A353">
        <v>352</v>
      </c>
      <c r="B353">
        <v>352</v>
      </c>
      <c r="C353">
        <v>61412110104015</v>
      </c>
      <c r="D353">
        <v>33</v>
      </c>
      <c r="E353" t="s">
        <v>1604</v>
      </c>
      <c r="F353">
        <v>33</v>
      </c>
      <c r="G353" t="s">
        <v>1641</v>
      </c>
      <c r="H353" t="str">
        <f t="shared" si="5"/>
        <v>REDE 33 - BANDEIRA 33 - LOJA 352</v>
      </c>
      <c r="I353">
        <v>2</v>
      </c>
      <c r="J353" t="s">
        <v>1646</v>
      </c>
      <c r="K353">
        <v>3</v>
      </c>
      <c r="L353" t="s">
        <v>860</v>
      </c>
      <c r="M353">
        <v>2</v>
      </c>
      <c r="N353" t="s">
        <v>36</v>
      </c>
      <c r="O353">
        <v>2</v>
      </c>
      <c r="P353" t="s">
        <v>37</v>
      </c>
      <c r="Q353" t="s">
        <v>38</v>
      </c>
      <c r="R353">
        <v>2</v>
      </c>
      <c r="S353" t="s">
        <v>39</v>
      </c>
      <c r="T353" t="s">
        <v>861</v>
      </c>
      <c r="U353" s="1">
        <v>-236073969</v>
      </c>
      <c r="V353" s="1">
        <v>-466898894</v>
      </c>
      <c r="W353" t="s">
        <v>862</v>
      </c>
      <c r="X353">
        <v>1</v>
      </c>
      <c r="Y353" t="s">
        <v>34</v>
      </c>
    </row>
    <row r="354" spans="1:25" x14ac:dyDescent="0.3">
      <c r="A354">
        <v>353</v>
      </c>
      <c r="B354">
        <v>353</v>
      </c>
      <c r="C354">
        <v>61412110085207</v>
      </c>
      <c r="D354">
        <v>33</v>
      </c>
      <c r="E354" t="s">
        <v>1604</v>
      </c>
      <c r="F354">
        <v>33</v>
      </c>
      <c r="G354" t="s">
        <v>1641</v>
      </c>
      <c r="H354" t="str">
        <f t="shared" si="5"/>
        <v>REDE 33 - BANDEIRA 33 - LOJA 353</v>
      </c>
      <c r="I354">
        <v>2</v>
      </c>
      <c r="J354" t="s">
        <v>1646</v>
      </c>
      <c r="K354">
        <v>3</v>
      </c>
      <c r="L354" t="s">
        <v>863</v>
      </c>
      <c r="M354">
        <v>2</v>
      </c>
      <c r="N354" t="s">
        <v>36</v>
      </c>
      <c r="O354">
        <v>2</v>
      </c>
      <c r="P354" t="s">
        <v>37</v>
      </c>
      <c r="Q354" t="s">
        <v>38</v>
      </c>
      <c r="R354">
        <v>2</v>
      </c>
      <c r="S354" t="s">
        <v>39</v>
      </c>
      <c r="T354" t="s">
        <v>864</v>
      </c>
      <c r="U354" s="1">
        <v>-235797464</v>
      </c>
      <c r="V354" s="1">
        <v>-464113955</v>
      </c>
      <c r="W354" t="s">
        <v>865</v>
      </c>
      <c r="X354">
        <v>1</v>
      </c>
      <c r="Y354" t="s">
        <v>34</v>
      </c>
    </row>
    <row r="355" spans="1:25" x14ac:dyDescent="0.3">
      <c r="A355">
        <v>354</v>
      </c>
      <c r="B355">
        <v>354</v>
      </c>
      <c r="C355">
        <v>61412110109084</v>
      </c>
      <c r="D355">
        <v>33</v>
      </c>
      <c r="E355" t="s">
        <v>1604</v>
      </c>
      <c r="F355">
        <v>33</v>
      </c>
      <c r="G355" t="s">
        <v>1641</v>
      </c>
      <c r="H355" t="str">
        <f t="shared" si="5"/>
        <v>REDE 33 - BANDEIRA 33 - LOJA 354</v>
      </c>
      <c r="I355">
        <v>2</v>
      </c>
      <c r="J355" t="s">
        <v>1646</v>
      </c>
      <c r="K355">
        <v>3</v>
      </c>
      <c r="L355" t="s">
        <v>866</v>
      </c>
      <c r="M355">
        <v>2</v>
      </c>
      <c r="N355" t="s">
        <v>36</v>
      </c>
      <c r="O355">
        <v>2</v>
      </c>
      <c r="P355" t="s">
        <v>37</v>
      </c>
      <c r="Q355" t="s">
        <v>38</v>
      </c>
      <c r="R355">
        <v>2</v>
      </c>
      <c r="S355" t="s">
        <v>39</v>
      </c>
      <c r="T355" t="s">
        <v>867</v>
      </c>
      <c r="U355" s="1">
        <v>-235585492</v>
      </c>
      <c r="V355" s="1">
        <v>-465898179</v>
      </c>
      <c r="W355" t="s">
        <v>868</v>
      </c>
      <c r="X355">
        <v>1</v>
      </c>
      <c r="Y355" t="s">
        <v>34</v>
      </c>
    </row>
    <row r="356" spans="1:25" x14ac:dyDescent="0.3">
      <c r="A356">
        <v>355</v>
      </c>
      <c r="B356">
        <v>355</v>
      </c>
      <c r="C356">
        <v>61412110114592</v>
      </c>
      <c r="D356">
        <v>33</v>
      </c>
      <c r="E356" t="s">
        <v>1604</v>
      </c>
      <c r="F356">
        <v>33</v>
      </c>
      <c r="G356" t="s">
        <v>1641</v>
      </c>
      <c r="H356" t="str">
        <f t="shared" si="5"/>
        <v>REDE 33 - BANDEIRA 33 - LOJA 355</v>
      </c>
      <c r="I356">
        <v>2</v>
      </c>
      <c r="J356" t="s">
        <v>1646</v>
      </c>
      <c r="K356">
        <v>3</v>
      </c>
      <c r="L356" t="s">
        <v>869</v>
      </c>
      <c r="M356">
        <v>2</v>
      </c>
      <c r="N356" t="s">
        <v>36</v>
      </c>
      <c r="O356">
        <v>2</v>
      </c>
      <c r="P356" t="s">
        <v>37</v>
      </c>
      <c r="Q356" t="s">
        <v>38</v>
      </c>
      <c r="R356">
        <v>2</v>
      </c>
      <c r="S356" t="s">
        <v>39</v>
      </c>
      <c r="T356" t="s">
        <v>870</v>
      </c>
      <c r="U356" s="1">
        <v>-235921497</v>
      </c>
      <c r="V356" s="1">
        <v>-466070481</v>
      </c>
      <c r="W356" t="s">
        <v>780</v>
      </c>
      <c r="X356">
        <v>1</v>
      </c>
      <c r="Y356" t="s">
        <v>34</v>
      </c>
    </row>
    <row r="357" spans="1:25" x14ac:dyDescent="0.3">
      <c r="A357">
        <v>356</v>
      </c>
      <c r="B357">
        <v>356</v>
      </c>
      <c r="C357">
        <v>61412110006005</v>
      </c>
      <c r="D357">
        <v>33</v>
      </c>
      <c r="E357" t="s">
        <v>1604</v>
      </c>
      <c r="F357">
        <v>33</v>
      </c>
      <c r="G357" t="s">
        <v>1641</v>
      </c>
      <c r="H357" t="str">
        <f t="shared" si="5"/>
        <v>REDE 33 - BANDEIRA 33 - LOJA 356</v>
      </c>
      <c r="I357">
        <v>2</v>
      </c>
      <c r="J357" t="s">
        <v>1646</v>
      </c>
      <c r="K357">
        <v>3</v>
      </c>
      <c r="L357" t="s">
        <v>871</v>
      </c>
      <c r="M357">
        <v>2</v>
      </c>
      <c r="N357" t="s">
        <v>36</v>
      </c>
      <c r="O357">
        <v>2</v>
      </c>
      <c r="P357" t="s">
        <v>37</v>
      </c>
      <c r="Q357" t="s">
        <v>38</v>
      </c>
      <c r="R357">
        <v>2</v>
      </c>
      <c r="S357" t="s">
        <v>39</v>
      </c>
      <c r="T357" t="s">
        <v>872</v>
      </c>
      <c r="U357" s="1">
        <v>-236059861</v>
      </c>
      <c r="V357" s="1">
        <v>-466596164</v>
      </c>
      <c r="W357" t="s">
        <v>482</v>
      </c>
      <c r="X357">
        <v>1</v>
      </c>
      <c r="Y357" t="s">
        <v>34</v>
      </c>
    </row>
    <row r="358" spans="1:25" x14ac:dyDescent="0.3">
      <c r="A358">
        <v>357</v>
      </c>
      <c r="B358">
        <v>357</v>
      </c>
      <c r="C358">
        <v>61412110091010</v>
      </c>
      <c r="D358">
        <v>33</v>
      </c>
      <c r="E358" t="s">
        <v>1604</v>
      </c>
      <c r="F358">
        <v>33</v>
      </c>
      <c r="G358" t="s">
        <v>1641</v>
      </c>
      <c r="H358" t="str">
        <f t="shared" si="5"/>
        <v>REDE 33 - BANDEIRA 33 - LOJA 357</v>
      </c>
      <c r="I358">
        <v>2</v>
      </c>
      <c r="J358" t="s">
        <v>1646</v>
      </c>
      <c r="K358">
        <v>3</v>
      </c>
      <c r="L358" t="s">
        <v>873</v>
      </c>
      <c r="M358">
        <v>2</v>
      </c>
      <c r="N358" t="s">
        <v>36</v>
      </c>
      <c r="O358">
        <v>2</v>
      </c>
      <c r="P358" t="s">
        <v>37</v>
      </c>
      <c r="Q358" t="s">
        <v>38</v>
      </c>
      <c r="R358">
        <v>2</v>
      </c>
      <c r="S358" t="s">
        <v>39</v>
      </c>
      <c r="T358" t="s">
        <v>874</v>
      </c>
      <c r="U358" s="1">
        <v>-235393053</v>
      </c>
      <c r="V358" s="1">
        <v>-466610747</v>
      </c>
      <c r="W358" t="s">
        <v>875</v>
      </c>
      <c r="X358">
        <v>1</v>
      </c>
      <c r="Y358" t="s">
        <v>34</v>
      </c>
    </row>
    <row r="359" spans="1:25" x14ac:dyDescent="0.3">
      <c r="A359">
        <v>358</v>
      </c>
      <c r="B359">
        <v>358</v>
      </c>
      <c r="C359">
        <v>61412110100613</v>
      </c>
      <c r="D359">
        <v>33</v>
      </c>
      <c r="E359" t="s">
        <v>1604</v>
      </c>
      <c r="F359">
        <v>33</v>
      </c>
      <c r="G359" t="s">
        <v>1641</v>
      </c>
      <c r="H359" t="str">
        <f t="shared" si="5"/>
        <v>REDE 33 - BANDEIRA 33 - LOJA 358</v>
      </c>
      <c r="I359">
        <v>2</v>
      </c>
      <c r="J359" t="s">
        <v>1646</v>
      </c>
      <c r="K359">
        <v>3</v>
      </c>
      <c r="L359" t="s">
        <v>876</v>
      </c>
      <c r="M359">
        <v>2</v>
      </c>
      <c r="N359" t="s">
        <v>36</v>
      </c>
      <c r="O359">
        <v>2</v>
      </c>
      <c r="P359" t="s">
        <v>37</v>
      </c>
      <c r="Q359" t="s">
        <v>38</v>
      </c>
      <c r="R359">
        <v>2</v>
      </c>
      <c r="S359" t="s">
        <v>39</v>
      </c>
      <c r="T359" t="s">
        <v>877</v>
      </c>
      <c r="U359" s="1">
        <v>-235698895</v>
      </c>
      <c r="V359" s="1">
        <v>-465879816</v>
      </c>
      <c r="W359" t="s">
        <v>783</v>
      </c>
      <c r="X359">
        <v>1</v>
      </c>
      <c r="Y359" t="s">
        <v>34</v>
      </c>
    </row>
    <row r="360" spans="1:25" x14ac:dyDescent="0.3">
      <c r="A360">
        <v>359</v>
      </c>
      <c r="B360">
        <v>359</v>
      </c>
      <c r="C360">
        <v>61412110096241</v>
      </c>
      <c r="D360">
        <v>33</v>
      </c>
      <c r="E360" t="s">
        <v>1604</v>
      </c>
      <c r="F360">
        <v>33</v>
      </c>
      <c r="G360" t="s">
        <v>1641</v>
      </c>
      <c r="H360" t="str">
        <f t="shared" si="5"/>
        <v>REDE 33 - BANDEIRA 33 - LOJA 359</v>
      </c>
      <c r="I360">
        <v>2</v>
      </c>
      <c r="J360" t="s">
        <v>1646</v>
      </c>
      <c r="K360">
        <v>3</v>
      </c>
      <c r="L360" t="s">
        <v>878</v>
      </c>
      <c r="M360">
        <v>2</v>
      </c>
      <c r="N360" t="s">
        <v>36</v>
      </c>
      <c r="O360">
        <v>2</v>
      </c>
      <c r="P360" t="s">
        <v>37</v>
      </c>
      <c r="Q360" t="s">
        <v>38</v>
      </c>
      <c r="R360">
        <v>2</v>
      </c>
      <c r="S360" t="s">
        <v>39</v>
      </c>
      <c r="T360" t="s">
        <v>879</v>
      </c>
      <c r="U360" s="1">
        <v>-235681327</v>
      </c>
      <c r="V360" s="1">
        <v>-466283695</v>
      </c>
      <c r="W360" t="s">
        <v>880</v>
      </c>
      <c r="X360">
        <v>1</v>
      </c>
      <c r="Y360" t="s">
        <v>34</v>
      </c>
    </row>
    <row r="361" spans="1:25" x14ac:dyDescent="0.3">
      <c r="A361">
        <v>360</v>
      </c>
      <c r="B361">
        <v>360</v>
      </c>
      <c r="C361">
        <v>61412110013133</v>
      </c>
      <c r="D361">
        <v>33</v>
      </c>
      <c r="E361" t="s">
        <v>1604</v>
      </c>
      <c r="F361">
        <v>33</v>
      </c>
      <c r="G361" t="s">
        <v>1641</v>
      </c>
      <c r="H361" t="str">
        <f t="shared" si="5"/>
        <v>REDE 33 - BANDEIRA 33 - LOJA 360</v>
      </c>
      <c r="I361">
        <v>2</v>
      </c>
      <c r="J361" t="s">
        <v>1646</v>
      </c>
      <c r="K361">
        <v>3</v>
      </c>
      <c r="L361" t="s">
        <v>881</v>
      </c>
      <c r="M361">
        <v>2</v>
      </c>
      <c r="N361" t="s">
        <v>36</v>
      </c>
      <c r="O361">
        <v>2</v>
      </c>
      <c r="P361" t="s">
        <v>37</v>
      </c>
      <c r="Q361" t="s">
        <v>38</v>
      </c>
      <c r="R361">
        <v>2</v>
      </c>
      <c r="S361" t="s">
        <v>39</v>
      </c>
      <c r="T361" t="s">
        <v>882</v>
      </c>
      <c r="U361" s="1">
        <v>-235353229</v>
      </c>
      <c r="V361" s="1">
        <v>-464019793999999</v>
      </c>
      <c r="W361" t="s">
        <v>883</v>
      </c>
      <c r="X361">
        <v>1</v>
      </c>
      <c r="Y361" t="s">
        <v>34</v>
      </c>
    </row>
    <row r="362" spans="1:25" x14ac:dyDescent="0.3">
      <c r="A362">
        <v>361</v>
      </c>
      <c r="B362">
        <v>361</v>
      </c>
      <c r="C362">
        <v>61412110050764</v>
      </c>
      <c r="D362">
        <v>33</v>
      </c>
      <c r="E362" t="s">
        <v>1604</v>
      </c>
      <c r="F362">
        <v>33</v>
      </c>
      <c r="G362" t="s">
        <v>1641</v>
      </c>
      <c r="H362" t="str">
        <f t="shared" si="5"/>
        <v>REDE 33 - BANDEIRA 33 - LOJA 361</v>
      </c>
      <c r="I362">
        <v>2</v>
      </c>
      <c r="J362" t="s">
        <v>1646</v>
      </c>
      <c r="K362">
        <v>3</v>
      </c>
      <c r="L362" t="s">
        <v>884</v>
      </c>
      <c r="M362">
        <v>2</v>
      </c>
      <c r="N362" t="s">
        <v>36</v>
      </c>
      <c r="O362">
        <v>2</v>
      </c>
      <c r="P362" t="s">
        <v>37</v>
      </c>
      <c r="Q362" t="s">
        <v>38</v>
      </c>
      <c r="R362">
        <v>2</v>
      </c>
      <c r="S362" t="s">
        <v>39</v>
      </c>
      <c r="T362" t="s">
        <v>885</v>
      </c>
      <c r="U362" s="1">
        <v>-236087895</v>
      </c>
      <c r="V362" s="1">
        <v>-466470108</v>
      </c>
      <c r="W362" t="s">
        <v>852</v>
      </c>
      <c r="X362">
        <v>1</v>
      </c>
      <c r="Y362" t="s">
        <v>34</v>
      </c>
    </row>
    <row r="363" spans="1:25" x14ac:dyDescent="0.3">
      <c r="A363">
        <v>362</v>
      </c>
      <c r="B363">
        <v>362</v>
      </c>
      <c r="C363">
        <v>61412110008997</v>
      </c>
      <c r="D363">
        <v>33</v>
      </c>
      <c r="E363" t="s">
        <v>1604</v>
      </c>
      <c r="F363">
        <v>33</v>
      </c>
      <c r="G363" t="s">
        <v>1641</v>
      </c>
      <c r="H363" t="str">
        <f t="shared" si="5"/>
        <v>REDE 33 - BANDEIRA 33 - LOJA 362</v>
      </c>
      <c r="I363">
        <v>2</v>
      </c>
      <c r="J363" t="s">
        <v>1646</v>
      </c>
      <c r="K363">
        <v>3</v>
      </c>
      <c r="L363" t="s">
        <v>886</v>
      </c>
      <c r="M363">
        <v>2</v>
      </c>
      <c r="N363" t="s">
        <v>36</v>
      </c>
      <c r="O363">
        <v>2</v>
      </c>
      <c r="P363" t="s">
        <v>37</v>
      </c>
      <c r="Q363" t="s">
        <v>38</v>
      </c>
      <c r="R363">
        <v>2</v>
      </c>
      <c r="S363" t="s">
        <v>39</v>
      </c>
      <c r="T363" t="s">
        <v>887</v>
      </c>
      <c r="U363" s="1">
        <v>-235670515</v>
      </c>
      <c r="V363" s="1">
        <v>-466572391</v>
      </c>
      <c r="W363" t="s">
        <v>163</v>
      </c>
      <c r="X363">
        <v>1</v>
      </c>
      <c r="Y363" t="s">
        <v>34</v>
      </c>
    </row>
    <row r="364" spans="1:25" x14ac:dyDescent="0.3">
      <c r="A364">
        <v>363</v>
      </c>
      <c r="B364">
        <v>363</v>
      </c>
      <c r="C364">
        <v>61412110086017</v>
      </c>
      <c r="D364">
        <v>33</v>
      </c>
      <c r="E364" t="s">
        <v>1604</v>
      </c>
      <c r="F364">
        <v>33</v>
      </c>
      <c r="G364" t="s">
        <v>1641</v>
      </c>
      <c r="H364" t="str">
        <f t="shared" si="5"/>
        <v>REDE 33 - BANDEIRA 33 - LOJA 363</v>
      </c>
      <c r="I364">
        <v>2</v>
      </c>
      <c r="J364" t="s">
        <v>1646</v>
      </c>
      <c r="K364">
        <v>3</v>
      </c>
      <c r="L364" t="s">
        <v>888</v>
      </c>
      <c r="M364">
        <v>2</v>
      </c>
      <c r="N364" t="s">
        <v>36</v>
      </c>
      <c r="O364">
        <v>2</v>
      </c>
      <c r="P364" t="s">
        <v>37</v>
      </c>
      <c r="Q364" t="s">
        <v>38</v>
      </c>
      <c r="R364">
        <v>2</v>
      </c>
      <c r="S364" t="s">
        <v>39</v>
      </c>
      <c r="T364" t="s">
        <v>889</v>
      </c>
      <c r="U364" s="1">
        <v>-235844085</v>
      </c>
      <c r="V364" s="1">
        <v>-466727028</v>
      </c>
      <c r="W364" t="s">
        <v>516</v>
      </c>
      <c r="X364">
        <v>1</v>
      </c>
      <c r="Y364" t="s">
        <v>34</v>
      </c>
    </row>
    <row r="365" spans="1:25" x14ac:dyDescent="0.3">
      <c r="A365">
        <v>364</v>
      </c>
      <c r="B365">
        <v>364</v>
      </c>
      <c r="C365">
        <v>61412110024500</v>
      </c>
      <c r="D365">
        <v>33</v>
      </c>
      <c r="E365" t="s">
        <v>1604</v>
      </c>
      <c r="F365">
        <v>33</v>
      </c>
      <c r="G365" t="s">
        <v>1641</v>
      </c>
      <c r="H365" t="str">
        <f t="shared" si="5"/>
        <v>REDE 33 - BANDEIRA 33 - LOJA 364</v>
      </c>
      <c r="I365">
        <v>2</v>
      </c>
      <c r="J365" t="s">
        <v>1646</v>
      </c>
      <c r="K365">
        <v>3</v>
      </c>
      <c r="L365" t="s">
        <v>890</v>
      </c>
      <c r="M365">
        <v>2</v>
      </c>
      <c r="N365" t="s">
        <v>36</v>
      </c>
      <c r="O365">
        <v>2</v>
      </c>
      <c r="P365" t="s">
        <v>37</v>
      </c>
      <c r="Q365" t="s">
        <v>38</v>
      </c>
      <c r="R365">
        <v>2</v>
      </c>
      <c r="S365" t="s">
        <v>39</v>
      </c>
      <c r="T365" t="s">
        <v>891</v>
      </c>
      <c r="U365" s="1">
        <v>-235942073</v>
      </c>
      <c r="V365" s="1">
        <v>-467211445</v>
      </c>
      <c r="W365" t="s">
        <v>892</v>
      </c>
      <c r="X365">
        <v>1</v>
      </c>
      <c r="Y365" t="s">
        <v>34</v>
      </c>
    </row>
    <row r="366" spans="1:25" x14ac:dyDescent="0.3">
      <c r="A366">
        <v>365</v>
      </c>
      <c r="B366">
        <v>365</v>
      </c>
      <c r="C366">
        <v>61412110002603</v>
      </c>
      <c r="D366">
        <v>33</v>
      </c>
      <c r="E366" t="s">
        <v>1604</v>
      </c>
      <c r="F366">
        <v>33</v>
      </c>
      <c r="G366" t="s">
        <v>1641</v>
      </c>
      <c r="H366" t="str">
        <f t="shared" si="5"/>
        <v>REDE 33 - BANDEIRA 33 - LOJA 365</v>
      </c>
      <c r="I366">
        <v>2</v>
      </c>
      <c r="J366" t="s">
        <v>1646</v>
      </c>
      <c r="K366">
        <v>3</v>
      </c>
      <c r="L366" t="s">
        <v>893</v>
      </c>
      <c r="M366">
        <v>2</v>
      </c>
      <c r="N366" t="s">
        <v>36</v>
      </c>
      <c r="O366">
        <v>2</v>
      </c>
      <c r="P366" t="s">
        <v>37</v>
      </c>
      <c r="Q366" t="s">
        <v>38</v>
      </c>
      <c r="R366">
        <v>2</v>
      </c>
      <c r="S366" t="s">
        <v>39</v>
      </c>
      <c r="T366" t="s">
        <v>894</v>
      </c>
      <c r="U366" s="1">
        <v>-235849011</v>
      </c>
      <c r="V366" s="1">
        <v>-466766139</v>
      </c>
      <c r="W366" t="s">
        <v>516</v>
      </c>
      <c r="X366">
        <v>1</v>
      </c>
      <c r="Y366" t="s">
        <v>34</v>
      </c>
    </row>
    <row r="367" spans="1:25" x14ac:dyDescent="0.3">
      <c r="A367">
        <v>366</v>
      </c>
      <c r="B367">
        <v>366</v>
      </c>
      <c r="C367">
        <v>61412110033916</v>
      </c>
      <c r="D367">
        <v>33</v>
      </c>
      <c r="E367" t="s">
        <v>1604</v>
      </c>
      <c r="F367">
        <v>33</v>
      </c>
      <c r="G367" t="s">
        <v>1641</v>
      </c>
      <c r="H367" t="str">
        <f t="shared" si="5"/>
        <v>REDE 33 - BANDEIRA 33 - LOJA 366</v>
      </c>
      <c r="I367">
        <v>2</v>
      </c>
      <c r="J367" t="s">
        <v>1646</v>
      </c>
      <c r="K367">
        <v>3</v>
      </c>
      <c r="L367" t="s">
        <v>895</v>
      </c>
      <c r="M367">
        <v>2</v>
      </c>
      <c r="N367" t="s">
        <v>36</v>
      </c>
      <c r="O367">
        <v>2</v>
      </c>
      <c r="P367" t="s">
        <v>37</v>
      </c>
      <c r="Q367" t="s">
        <v>38</v>
      </c>
      <c r="R367">
        <v>2</v>
      </c>
      <c r="S367" t="s">
        <v>39</v>
      </c>
      <c r="T367" t="s">
        <v>896</v>
      </c>
      <c r="U367" s="1">
        <v>-235440947</v>
      </c>
      <c r="V367" s="1">
        <v>-466604481</v>
      </c>
      <c r="W367" t="s">
        <v>897</v>
      </c>
      <c r="X367">
        <v>1</v>
      </c>
      <c r="Y367" t="s">
        <v>34</v>
      </c>
    </row>
    <row r="368" spans="1:25" x14ac:dyDescent="0.3">
      <c r="A368">
        <v>367</v>
      </c>
      <c r="B368">
        <v>367</v>
      </c>
      <c r="C368">
        <v>61412110075406</v>
      </c>
      <c r="D368">
        <v>33</v>
      </c>
      <c r="E368" t="s">
        <v>1604</v>
      </c>
      <c r="F368">
        <v>33</v>
      </c>
      <c r="G368" t="s">
        <v>1641</v>
      </c>
      <c r="H368" t="str">
        <f t="shared" si="5"/>
        <v>REDE 33 - BANDEIRA 33 - LOJA 367</v>
      </c>
      <c r="I368">
        <v>2</v>
      </c>
      <c r="J368" t="s">
        <v>1646</v>
      </c>
      <c r="K368">
        <v>3</v>
      </c>
      <c r="L368" t="s">
        <v>898</v>
      </c>
      <c r="M368">
        <v>2</v>
      </c>
      <c r="N368" t="s">
        <v>36</v>
      </c>
      <c r="O368">
        <v>2</v>
      </c>
      <c r="P368" t="s">
        <v>37</v>
      </c>
      <c r="Q368" t="s">
        <v>38</v>
      </c>
      <c r="R368">
        <v>2</v>
      </c>
      <c r="S368" t="s">
        <v>39</v>
      </c>
      <c r="T368" t="s">
        <v>899</v>
      </c>
      <c r="U368" s="1">
        <v>-236601481</v>
      </c>
      <c r="V368" s="1">
        <v>-466863705</v>
      </c>
      <c r="W368" t="s">
        <v>475</v>
      </c>
      <c r="X368">
        <v>1</v>
      </c>
      <c r="Y368" t="s">
        <v>34</v>
      </c>
    </row>
    <row r="369" spans="1:25" x14ac:dyDescent="0.3">
      <c r="A369">
        <v>368</v>
      </c>
      <c r="B369">
        <v>368</v>
      </c>
      <c r="C369">
        <v>61412110106301</v>
      </c>
      <c r="D369">
        <v>33</v>
      </c>
      <c r="E369" t="s">
        <v>1604</v>
      </c>
      <c r="F369">
        <v>33</v>
      </c>
      <c r="G369" t="s">
        <v>1641</v>
      </c>
      <c r="H369" t="str">
        <f t="shared" si="5"/>
        <v>REDE 33 - BANDEIRA 33 - LOJA 368</v>
      </c>
      <c r="I369">
        <v>2</v>
      </c>
      <c r="J369" t="s">
        <v>1646</v>
      </c>
      <c r="K369">
        <v>3</v>
      </c>
      <c r="L369" t="s">
        <v>900</v>
      </c>
      <c r="M369">
        <v>2</v>
      </c>
      <c r="N369" t="s">
        <v>36</v>
      </c>
      <c r="O369">
        <v>2</v>
      </c>
      <c r="P369" t="s">
        <v>37</v>
      </c>
      <c r="Q369" t="s">
        <v>38</v>
      </c>
      <c r="R369">
        <v>2</v>
      </c>
      <c r="S369" t="s">
        <v>39</v>
      </c>
      <c r="T369" t="s">
        <v>901</v>
      </c>
      <c r="U369" s="1">
        <v>-235501222</v>
      </c>
      <c r="V369" s="1">
        <v>-46588202</v>
      </c>
      <c r="W369" t="s">
        <v>902</v>
      </c>
      <c r="X369">
        <v>1</v>
      </c>
      <c r="Y369" t="s">
        <v>34</v>
      </c>
    </row>
    <row r="370" spans="1:25" x14ac:dyDescent="0.3">
      <c r="A370">
        <v>369</v>
      </c>
      <c r="B370">
        <v>369</v>
      </c>
      <c r="C370">
        <v>61412110032197</v>
      </c>
      <c r="D370">
        <v>33</v>
      </c>
      <c r="E370" t="s">
        <v>1604</v>
      </c>
      <c r="F370">
        <v>33</v>
      </c>
      <c r="G370" t="s">
        <v>1641</v>
      </c>
      <c r="H370" t="str">
        <f t="shared" si="5"/>
        <v>REDE 33 - BANDEIRA 33 - LOJA 369</v>
      </c>
      <c r="I370">
        <v>2</v>
      </c>
      <c r="J370" t="s">
        <v>1646</v>
      </c>
      <c r="K370">
        <v>3</v>
      </c>
      <c r="L370" t="s">
        <v>903</v>
      </c>
      <c r="M370">
        <v>2</v>
      </c>
      <c r="N370" t="s">
        <v>36</v>
      </c>
      <c r="O370">
        <v>2</v>
      </c>
      <c r="P370" t="s">
        <v>37</v>
      </c>
      <c r="Q370" t="s">
        <v>38</v>
      </c>
      <c r="R370">
        <v>2</v>
      </c>
      <c r="S370" t="s">
        <v>39</v>
      </c>
      <c r="T370" t="s">
        <v>904</v>
      </c>
      <c r="U370" s="1">
        <v>-235485159</v>
      </c>
      <c r="V370" s="1">
        <v>-465679779</v>
      </c>
      <c r="W370" t="s">
        <v>683</v>
      </c>
      <c r="X370">
        <v>1</v>
      </c>
      <c r="Y370" t="s">
        <v>34</v>
      </c>
    </row>
    <row r="371" spans="1:25" x14ac:dyDescent="0.3">
      <c r="A371">
        <v>370</v>
      </c>
      <c r="B371">
        <v>370</v>
      </c>
      <c r="C371">
        <v>61412110108193</v>
      </c>
      <c r="D371">
        <v>33</v>
      </c>
      <c r="E371" t="s">
        <v>1604</v>
      </c>
      <c r="F371">
        <v>33</v>
      </c>
      <c r="G371" t="s">
        <v>1641</v>
      </c>
      <c r="H371" t="str">
        <f t="shared" si="5"/>
        <v>REDE 33 - BANDEIRA 33 - LOJA 370</v>
      </c>
      <c r="I371">
        <v>2</v>
      </c>
      <c r="J371" t="s">
        <v>1646</v>
      </c>
      <c r="K371">
        <v>3</v>
      </c>
      <c r="L371" t="s">
        <v>905</v>
      </c>
      <c r="M371">
        <v>2</v>
      </c>
      <c r="N371" t="s">
        <v>36</v>
      </c>
      <c r="O371">
        <v>2</v>
      </c>
      <c r="P371" t="s">
        <v>37</v>
      </c>
      <c r="Q371" t="s">
        <v>38</v>
      </c>
      <c r="R371">
        <v>2</v>
      </c>
      <c r="S371" t="s">
        <v>39</v>
      </c>
      <c r="T371" t="s">
        <v>906</v>
      </c>
      <c r="U371" s="1">
        <v>-235221955</v>
      </c>
      <c r="V371" s="1">
        <v>-465258712</v>
      </c>
      <c r="W371" t="s">
        <v>907</v>
      </c>
      <c r="X371">
        <v>1</v>
      </c>
      <c r="Y371" t="s">
        <v>34</v>
      </c>
    </row>
    <row r="372" spans="1:25" x14ac:dyDescent="0.3">
      <c r="A372">
        <v>371</v>
      </c>
      <c r="B372">
        <v>371</v>
      </c>
      <c r="C372">
        <v>61412110091282</v>
      </c>
      <c r="D372">
        <v>33</v>
      </c>
      <c r="E372" t="s">
        <v>1604</v>
      </c>
      <c r="F372">
        <v>33</v>
      </c>
      <c r="G372" t="s">
        <v>1641</v>
      </c>
      <c r="H372" t="str">
        <f t="shared" si="5"/>
        <v>REDE 33 - BANDEIRA 33 - LOJA 371</v>
      </c>
      <c r="I372">
        <v>2</v>
      </c>
      <c r="J372" t="s">
        <v>1646</v>
      </c>
      <c r="K372">
        <v>3</v>
      </c>
      <c r="L372" t="s">
        <v>908</v>
      </c>
      <c r="M372">
        <v>2</v>
      </c>
      <c r="N372" t="s">
        <v>36</v>
      </c>
      <c r="O372">
        <v>2</v>
      </c>
      <c r="P372" t="s">
        <v>37</v>
      </c>
      <c r="Q372" t="s">
        <v>38</v>
      </c>
      <c r="R372">
        <v>2</v>
      </c>
      <c r="S372" t="s">
        <v>39</v>
      </c>
      <c r="T372" t="s">
        <v>450</v>
      </c>
      <c r="U372" s="1">
        <v>-235781297</v>
      </c>
      <c r="V372" s="1">
        <v>-466288470999999</v>
      </c>
      <c r="W372" t="s">
        <v>909</v>
      </c>
      <c r="X372">
        <v>1</v>
      </c>
      <c r="Y372" t="s">
        <v>34</v>
      </c>
    </row>
    <row r="373" spans="1:25" x14ac:dyDescent="0.3">
      <c r="A373">
        <v>372</v>
      </c>
      <c r="B373">
        <v>372</v>
      </c>
      <c r="C373">
        <v>61412110005203</v>
      </c>
      <c r="D373">
        <v>33</v>
      </c>
      <c r="E373" t="s">
        <v>1604</v>
      </c>
      <c r="F373">
        <v>33</v>
      </c>
      <c r="G373" t="s">
        <v>1641</v>
      </c>
      <c r="H373" t="str">
        <f t="shared" si="5"/>
        <v>REDE 33 - BANDEIRA 33 - LOJA 372</v>
      </c>
      <c r="I373">
        <v>2</v>
      </c>
      <c r="J373" t="s">
        <v>1646</v>
      </c>
      <c r="K373">
        <v>3</v>
      </c>
      <c r="L373" t="s">
        <v>910</v>
      </c>
      <c r="M373">
        <v>2</v>
      </c>
      <c r="N373" t="s">
        <v>36</v>
      </c>
      <c r="O373">
        <v>2</v>
      </c>
      <c r="P373" t="s">
        <v>37</v>
      </c>
      <c r="Q373" t="s">
        <v>38</v>
      </c>
      <c r="R373">
        <v>2</v>
      </c>
      <c r="S373" t="s">
        <v>39</v>
      </c>
      <c r="T373" t="s">
        <v>911</v>
      </c>
      <c r="U373" s="1">
        <v>-235557714</v>
      </c>
      <c r="V373" s="1">
        <v>-466395571</v>
      </c>
      <c r="W373" t="s">
        <v>912</v>
      </c>
      <c r="X373">
        <v>1</v>
      </c>
      <c r="Y373" t="s">
        <v>34</v>
      </c>
    </row>
    <row r="374" spans="1:25" x14ac:dyDescent="0.3">
      <c r="A374">
        <v>373</v>
      </c>
      <c r="B374">
        <v>373</v>
      </c>
      <c r="C374">
        <v>61412110013567</v>
      </c>
      <c r="D374">
        <v>33</v>
      </c>
      <c r="E374" t="s">
        <v>1604</v>
      </c>
      <c r="F374">
        <v>33</v>
      </c>
      <c r="G374" t="s">
        <v>1641</v>
      </c>
      <c r="H374" t="str">
        <f t="shared" si="5"/>
        <v>REDE 33 - BANDEIRA 33 - LOJA 373</v>
      </c>
      <c r="I374">
        <v>2</v>
      </c>
      <c r="J374" t="s">
        <v>1646</v>
      </c>
      <c r="K374">
        <v>3</v>
      </c>
      <c r="L374" t="s">
        <v>913</v>
      </c>
      <c r="M374">
        <v>2</v>
      </c>
      <c r="N374" t="s">
        <v>36</v>
      </c>
      <c r="O374">
        <v>2</v>
      </c>
      <c r="P374" t="s">
        <v>37</v>
      </c>
      <c r="Q374" t="s">
        <v>38</v>
      </c>
      <c r="R374">
        <v>2</v>
      </c>
      <c r="S374" t="s">
        <v>39</v>
      </c>
      <c r="T374" t="s">
        <v>914</v>
      </c>
      <c r="U374" s="1">
        <v>-236332692</v>
      </c>
      <c r="V374" s="1">
        <v>-466796114</v>
      </c>
      <c r="W374" t="s">
        <v>915</v>
      </c>
      <c r="X374">
        <v>1</v>
      </c>
      <c r="Y374" t="s">
        <v>34</v>
      </c>
    </row>
    <row r="375" spans="1:25" x14ac:dyDescent="0.3">
      <c r="A375">
        <v>374</v>
      </c>
      <c r="B375">
        <v>374</v>
      </c>
      <c r="C375">
        <v>61412110068701</v>
      </c>
      <c r="D375">
        <v>33</v>
      </c>
      <c r="E375" t="s">
        <v>1604</v>
      </c>
      <c r="F375">
        <v>33</v>
      </c>
      <c r="G375" t="s">
        <v>1641</v>
      </c>
      <c r="H375" t="str">
        <f t="shared" si="5"/>
        <v>REDE 33 - BANDEIRA 33 - LOJA 374</v>
      </c>
      <c r="I375">
        <v>2</v>
      </c>
      <c r="J375" t="s">
        <v>1646</v>
      </c>
      <c r="K375">
        <v>3</v>
      </c>
      <c r="L375" t="s">
        <v>916</v>
      </c>
      <c r="M375">
        <v>2</v>
      </c>
      <c r="N375" t="s">
        <v>36</v>
      </c>
      <c r="O375">
        <v>2</v>
      </c>
      <c r="P375" t="s">
        <v>37</v>
      </c>
      <c r="Q375" t="s">
        <v>38</v>
      </c>
      <c r="R375">
        <v>2</v>
      </c>
      <c r="S375" t="s">
        <v>39</v>
      </c>
      <c r="T375" t="s">
        <v>917</v>
      </c>
      <c r="U375" s="1">
        <v>-23627272</v>
      </c>
      <c r="V375" s="1">
        <v>-466386687</v>
      </c>
      <c r="W375" t="s">
        <v>918</v>
      </c>
      <c r="X375">
        <v>1</v>
      </c>
      <c r="Y375" t="s">
        <v>34</v>
      </c>
    </row>
    <row r="376" spans="1:25" x14ac:dyDescent="0.3">
      <c r="A376">
        <v>375</v>
      </c>
      <c r="B376">
        <v>375</v>
      </c>
      <c r="C376">
        <v>61412110036001</v>
      </c>
      <c r="D376">
        <v>33</v>
      </c>
      <c r="E376" t="s">
        <v>1604</v>
      </c>
      <c r="F376">
        <v>33</v>
      </c>
      <c r="G376" t="s">
        <v>1641</v>
      </c>
      <c r="H376" t="str">
        <f t="shared" si="5"/>
        <v>REDE 33 - BANDEIRA 33 - LOJA 375</v>
      </c>
      <c r="I376">
        <v>2</v>
      </c>
      <c r="J376" t="s">
        <v>1646</v>
      </c>
      <c r="K376">
        <v>3</v>
      </c>
      <c r="L376" t="s">
        <v>919</v>
      </c>
      <c r="M376">
        <v>2</v>
      </c>
      <c r="N376" t="s">
        <v>36</v>
      </c>
      <c r="O376">
        <v>2</v>
      </c>
      <c r="P376" t="s">
        <v>37</v>
      </c>
      <c r="Q376" t="s">
        <v>38</v>
      </c>
      <c r="R376">
        <v>2</v>
      </c>
      <c r="S376" t="s">
        <v>39</v>
      </c>
      <c r="T376" t="s">
        <v>920</v>
      </c>
      <c r="U376" s="1">
        <v>-236172134</v>
      </c>
      <c r="V376" s="1">
        <v>-46736233</v>
      </c>
      <c r="W376" t="s">
        <v>921</v>
      </c>
      <c r="X376">
        <v>1</v>
      </c>
      <c r="Y376" t="s">
        <v>34</v>
      </c>
    </row>
    <row r="377" spans="1:25" x14ac:dyDescent="0.3">
      <c r="A377">
        <v>376</v>
      </c>
      <c r="B377">
        <v>376</v>
      </c>
      <c r="C377">
        <v>61412110055561</v>
      </c>
      <c r="D377">
        <v>33</v>
      </c>
      <c r="E377" t="s">
        <v>1604</v>
      </c>
      <c r="F377">
        <v>33</v>
      </c>
      <c r="G377" t="s">
        <v>1641</v>
      </c>
      <c r="H377" t="str">
        <f t="shared" si="5"/>
        <v>REDE 33 - BANDEIRA 33 - LOJA 376</v>
      </c>
      <c r="I377">
        <v>2</v>
      </c>
      <c r="J377" t="s">
        <v>1646</v>
      </c>
      <c r="K377">
        <v>3</v>
      </c>
      <c r="L377" t="s">
        <v>922</v>
      </c>
      <c r="M377">
        <v>2</v>
      </c>
      <c r="N377" t="s">
        <v>36</v>
      </c>
      <c r="O377">
        <v>2</v>
      </c>
      <c r="P377" t="s">
        <v>37</v>
      </c>
      <c r="Q377" t="s">
        <v>38</v>
      </c>
      <c r="R377">
        <v>2</v>
      </c>
      <c r="S377" t="s">
        <v>39</v>
      </c>
      <c r="T377" t="s">
        <v>923</v>
      </c>
      <c r="U377" s="1">
        <v>-235747964</v>
      </c>
      <c r="V377" s="1">
        <v>-466561073</v>
      </c>
      <c r="W377" t="s">
        <v>163</v>
      </c>
      <c r="X377">
        <v>1</v>
      </c>
      <c r="Y377" t="s">
        <v>34</v>
      </c>
    </row>
    <row r="378" spans="1:25" x14ac:dyDescent="0.3">
      <c r="A378">
        <v>377</v>
      </c>
      <c r="B378">
        <v>377</v>
      </c>
      <c r="C378">
        <v>61412110108002</v>
      </c>
      <c r="D378">
        <v>33</v>
      </c>
      <c r="E378" t="s">
        <v>1604</v>
      </c>
      <c r="F378">
        <v>33</v>
      </c>
      <c r="G378" t="s">
        <v>1641</v>
      </c>
      <c r="H378" t="str">
        <f t="shared" si="5"/>
        <v>REDE 33 - BANDEIRA 33 - LOJA 377</v>
      </c>
      <c r="I378">
        <v>2</v>
      </c>
      <c r="J378" t="s">
        <v>1646</v>
      </c>
      <c r="K378">
        <v>3</v>
      </c>
      <c r="L378" t="s">
        <v>924</v>
      </c>
      <c r="M378">
        <v>2</v>
      </c>
      <c r="N378" t="s">
        <v>36</v>
      </c>
      <c r="O378">
        <v>2</v>
      </c>
      <c r="P378" t="s">
        <v>37</v>
      </c>
      <c r="Q378" t="s">
        <v>38</v>
      </c>
      <c r="R378">
        <v>2</v>
      </c>
      <c r="S378" t="s">
        <v>39</v>
      </c>
      <c r="T378" t="s">
        <v>925</v>
      </c>
      <c r="U378" s="1">
        <v>-235538161</v>
      </c>
      <c r="V378" s="1">
        <v>-466529963</v>
      </c>
      <c r="W378" t="s">
        <v>841</v>
      </c>
      <c r="X378">
        <v>1</v>
      </c>
      <c r="Y378" t="s">
        <v>34</v>
      </c>
    </row>
    <row r="379" spans="1:25" x14ac:dyDescent="0.3">
      <c r="A379">
        <v>378</v>
      </c>
      <c r="B379">
        <v>378</v>
      </c>
      <c r="C379">
        <v>61412110095270</v>
      </c>
      <c r="D379">
        <v>33</v>
      </c>
      <c r="E379" t="s">
        <v>1604</v>
      </c>
      <c r="F379">
        <v>33</v>
      </c>
      <c r="G379" t="s">
        <v>1641</v>
      </c>
      <c r="H379" t="str">
        <f t="shared" si="5"/>
        <v>REDE 33 - BANDEIRA 33 - LOJA 378</v>
      </c>
      <c r="I379">
        <v>2</v>
      </c>
      <c r="J379" t="s">
        <v>1646</v>
      </c>
      <c r="K379">
        <v>3</v>
      </c>
      <c r="L379" t="s">
        <v>926</v>
      </c>
      <c r="M379">
        <v>2</v>
      </c>
      <c r="N379" t="s">
        <v>36</v>
      </c>
      <c r="O379">
        <v>2</v>
      </c>
      <c r="P379" t="s">
        <v>37</v>
      </c>
      <c r="Q379" t="s">
        <v>38</v>
      </c>
      <c r="R379">
        <v>2</v>
      </c>
      <c r="S379" t="s">
        <v>39</v>
      </c>
      <c r="T379" t="s">
        <v>927</v>
      </c>
      <c r="U379" s="1">
        <v>-23754565</v>
      </c>
      <c r="V379" s="1">
        <v>-467124612</v>
      </c>
      <c r="W379" t="s">
        <v>423</v>
      </c>
      <c r="X379">
        <v>1</v>
      </c>
      <c r="Y379" t="s">
        <v>34</v>
      </c>
    </row>
    <row r="380" spans="1:25" x14ac:dyDescent="0.3">
      <c r="A380">
        <v>379</v>
      </c>
      <c r="B380">
        <v>379</v>
      </c>
      <c r="C380">
        <v>61412110096675</v>
      </c>
      <c r="D380">
        <v>33</v>
      </c>
      <c r="E380" t="s">
        <v>1604</v>
      </c>
      <c r="F380">
        <v>33</v>
      </c>
      <c r="G380" t="s">
        <v>1641</v>
      </c>
      <c r="H380" t="str">
        <f t="shared" si="5"/>
        <v>REDE 33 - BANDEIRA 33 - LOJA 379</v>
      </c>
      <c r="I380">
        <v>2</v>
      </c>
      <c r="J380" t="s">
        <v>1646</v>
      </c>
      <c r="K380">
        <v>3</v>
      </c>
      <c r="L380" t="s">
        <v>928</v>
      </c>
      <c r="M380">
        <v>2</v>
      </c>
      <c r="N380" t="s">
        <v>36</v>
      </c>
      <c r="O380">
        <v>2</v>
      </c>
      <c r="P380" t="s">
        <v>37</v>
      </c>
      <c r="Q380" t="s">
        <v>38</v>
      </c>
      <c r="R380">
        <v>2</v>
      </c>
      <c r="S380" t="s">
        <v>39</v>
      </c>
      <c r="T380" t="s">
        <v>929</v>
      </c>
      <c r="U380" s="1">
        <v>-235421153</v>
      </c>
      <c r="V380" s="1">
        <v>-466403022</v>
      </c>
      <c r="W380" t="s">
        <v>930</v>
      </c>
      <c r="X380">
        <v>1</v>
      </c>
      <c r="Y380" t="s">
        <v>34</v>
      </c>
    </row>
    <row r="381" spans="1:25" x14ac:dyDescent="0.3">
      <c r="A381">
        <v>380</v>
      </c>
      <c r="B381">
        <v>380</v>
      </c>
      <c r="C381">
        <v>61412110086955</v>
      </c>
      <c r="D381">
        <v>33</v>
      </c>
      <c r="E381" t="s">
        <v>1604</v>
      </c>
      <c r="F381">
        <v>33</v>
      </c>
      <c r="G381" t="s">
        <v>1641</v>
      </c>
      <c r="H381" t="str">
        <f t="shared" si="5"/>
        <v>REDE 33 - BANDEIRA 33 - LOJA 380</v>
      </c>
      <c r="I381">
        <v>2</v>
      </c>
      <c r="J381" t="s">
        <v>1646</v>
      </c>
      <c r="K381">
        <v>3</v>
      </c>
      <c r="L381" t="s">
        <v>931</v>
      </c>
      <c r="M381">
        <v>2</v>
      </c>
      <c r="N381" t="s">
        <v>36</v>
      </c>
      <c r="O381">
        <v>2</v>
      </c>
      <c r="P381" t="s">
        <v>37</v>
      </c>
      <c r="Q381" t="s">
        <v>38</v>
      </c>
      <c r="R381">
        <v>2</v>
      </c>
      <c r="S381" t="s">
        <v>39</v>
      </c>
      <c r="T381" t="s">
        <v>932</v>
      </c>
      <c r="U381" s="1">
        <v>-235684702</v>
      </c>
      <c r="V381" s="1">
        <v>-46661051</v>
      </c>
      <c r="W381" t="s">
        <v>163</v>
      </c>
      <c r="X381">
        <v>1</v>
      </c>
      <c r="Y381" t="s">
        <v>34</v>
      </c>
    </row>
    <row r="382" spans="1:25" x14ac:dyDescent="0.3">
      <c r="A382">
        <v>381</v>
      </c>
      <c r="B382">
        <v>381</v>
      </c>
      <c r="C382">
        <v>61412110108940</v>
      </c>
      <c r="D382">
        <v>33</v>
      </c>
      <c r="E382" t="s">
        <v>1604</v>
      </c>
      <c r="F382">
        <v>33</v>
      </c>
      <c r="G382" t="s">
        <v>1641</v>
      </c>
      <c r="H382" t="str">
        <f t="shared" si="5"/>
        <v>REDE 33 - BANDEIRA 33 - LOJA 381</v>
      </c>
      <c r="I382">
        <v>2</v>
      </c>
      <c r="J382" t="s">
        <v>1646</v>
      </c>
      <c r="K382">
        <v>3</v>
      </c>
      <c r="L382" t="s">
        <v>933</v>
      </c>
      <c r="M382">
        <v>2</v>
      </c>
      <c r="N382" t="s">
        <v>36</v>
      </c>
      <c r="O382">
        <v>2</v>
      </c>
      <c r="P382" t="s">
        <v>37</v>
      </c>
      <c r="Q382" t="s">
        <v>38</v>
      </c>
      <c r="R382">
        <v>2</v>
      </c>
      <c r="S382" t="s">
        <v>39</v>
      </c>
      <c r="T382" t="s">
        <v>934</v>
      </c>
      <c r="U382" s="1">
        <v>-236183903</v>
      </c>
      <c r="V382" s="1">
        <v>-464684148</v>
      </c>
      <c r="W382" t="s">
        <v>935</v>
      </c>
      <c r="X382">
        <v>1</v>
      </c>
      <c r="Y382" t="s">
        <v>34</v>
      </c>
    </row>
    <row r="383" spans="1:25" x14ac:dyDescent="0.3">
      <c r="A383">
        <v>382</v>
      </c>
      <c r="B383">
        <v>382</v>
      </c>
      <c r="C383">
        <v>61412110101008</v>
      </c>
      <c r="D383">
        <v>33</v>
      </c>
      <c r="E383" t="s">
        <v>1604</v>
      </c>
      <c r="F383">
        <v>33</v>
      </c>
      <c r="G383" t="s">
        <v>1641</v>
      </c>
      <c r="H383" t="str">
        <f t="shared" si="5"/>
        <v>REDE 33 - BANDEIRA 33 - LOJA 382</v>
      </c>
      <c r="I383">
        <v>2</v>
      </c>
      <c r="J383" t="s">
        <v>1646</v>
      </c>
      <c r="K383">
        <v>3</v>
      </c>
      <c r="L383" t="s">
        <v>936</v>
      </c>
      <c r="M383">
        <v>2</v>
      </c>
      <c r="N383" t="s">
        <v>36</v>
      </c>
      <c r="O383">
        <v>2</v>
      </c>
      <c r="P383" t="s">
        <v>37</v>
      </c>
      <c r="Q383" t="s">
        <v>38</v>
      </c>
      <c r="R383">
        <v>2</v>
      </c>
      <c r="S383" t="s">
        <v>39</v>
      </c>
      <c r="T383" t="s">
        <v>937</v>
      </c>
      <c r="U383" s="1">
        <v>-23616414</v>
      </c>
      <c r="V383" s="1">
        <v>-466494516</v>
      </c>
      <c r="W383" t="s">
        <v>423</v>
      </c>
      <c r="X383">
        <v>1</v>
      </c>
      <c r="Y383" t="s">
        <v>34</v>
      </c>
    </row>
    <row r="384" spans="1:25" x14ac:dyDescent="0.3">
      <c r="A384">
        <v>383</v>
      </c>
      <c r="B384">
        <v>383</v>
      </c>
      <c r="C384">
        <v>61412110031620</v>
      </c>
      <c r="D384">
        <v>33</v>
      </c>
      <c r="E384" t="s">
        <v>1604</v>
      </c>
      <c r="F384">
        <v>33</v>
      </c>
      <c r="G384" t="s">
        <v>1641</v>
      </c>
      <c r="H384" t="str">
        <f t="shared" si="5"/>
        <v>REDE 33 - BANDEIRA 33 - LOJA 383</v>
      </c>
      <c r="I384">
        <v>2</v>
      </c>
      <c r="J384" t="s">
        <v>1646</v>
      </c>
      <c r="K384">
        <v>3</v>
      </c>
      <c r="L384" t="s">
        <v>938</v>
      </c>
      <c r="M384">
        <v>2</v>
      </c>
      <c r="N384" t="s">
        <v>36</v>
      </c>
      <c r="O384">
        <v>2</v>
      </c>
      <c r="P384" t="s">
        <v>37</v>
      </c>
      <c r="Q384" t="s">
        <v>38</v>
      </c>
      <c r="R384">
        <v>2</v>
      </c>
      <c r="S384" t="s">
        <v>39</v>
      </c>
      <c r="T384" t="s">
        <v>939</v>
      </c>
      <c r="U384" s="1">
        <v>-235958084</v>
      </c>
      <c r="V384" s="1">
        <v>-466762556</v>
      </c>
      <c r="W384" t="s">
        <v>516</v>
      </c>
      <c r="X384">
        <v>1</v>
      </c>
      <c r="Y384" t="s">
        <v>34</v>
      </c>
    </row>
    <row r="385" spans="1:25" x14ac:dyDescent="0.3">
      <c r="A385">
        <v>384</v>
      </c>
      <c r="B385">
        <v>384</v>
      </c>
      <c r="C385">
        <v>61412110055057</v>
      </c>
      <c r="D385">
        <v>33</v>
      </c>
      <c r="E385" t="s">
        <v>1604</v>
      </c>
      <c r="F385">
        <v>33</v>
      </c>
      <c r="G385" t="s">
        <v>1641</v>
      </c>
      <c r="H385" t="str">
        <f t="shared" si="5"/>
        <v>REDE 33 - BANDEIRA 33 - LOJA 384</v>
      </c>
      <c r="I385">
        <v>2</v>
      </c>
      <c r="J385" t="s">
        <v>1646</v>
      </c>
      <c r="K385">
        <v>3</v>
      </c>
      <c r="L385" t="s">
        <v>940</v>
      </c>
      <c r="M385">
        <v>2</v>
      </c>
      <c r="N385" t="s">
        <v>36</v>
      </c>
      <c r="O385">
        <v>2</v>
      </c>
      <c r="P385" t="s">
        <v>37</v>
      </c>
      <c r="Q385" t="s">
        <v>38</v>
      </c>
      <c r="R385">
        <v>2</v>
      </c>
      <c r="S385" t="s">
        <v>39</v>
      </c>
      <c r="T385" t="s">
        <v>941</v>
      </c>
      <c r="U385" s="1">
        <v>-236258811</v>
      </c>
      <c r="V385" s="1">
        <v>-46721844</v>
      </c>
      <c r="W385" t="s">
        <v>855</v>
      </c>
      <c r="X385">
        <v>1</v>
      </c>
      <c r="Y385" t="s">
        <v>34</v>
      </c>
    </row>
    <row r="386" spans="1:25" x14ac:dyDescent="0.3">
      <c r="A386">
        <v>385</v>
      </c>
      <c r="B386">
        <v>385</v>
      </c>
      <c r="C386">
        <v>61412110029137</v>
      </c>
      <c r="D386">
        <v>33</v>
      </c>
      <c r="E386" t="s">
        <v>1604</v>
      </c>
      <c r="F386">
        <v>33</v>
      </c>
      <c r="G386" t="s">
        <v>1641</v>
      </c>
      <c r="H386" t="str">
        <f t="shared" si="5"/>
        <v>REDE 33 - BANDEIRA 33 - LOJA 385</v>
      </c>
      <c r="I386">
        <v>2</v>
      </c>
      <c r="J386" t="s">
        <v>1646</v>
      </c>
      <c r="K386">
        <v>3</v>
      </c>
      <c r="L386" t="s">
        <v>942</v>
      </c>
      <c r="M386">
        <v>2</v>
      </c>
      <c r="N386" t="s">
        <v>36</v>
      </c>
      <c r="O386">
        <v>2</v>
      </c>
      <c r="P386" t="s">
        <v>37</v>
      </c>
      <c r="Q386" t="s">
        <v>38</v>
      </c>
      <c r="R386">
        <v>2</v>
      </c>
      <c r="S386" t="s">
        <v>39</v>
      </c>
      <c r="T386" t="s">
        <v>943</v>
      </c>
      <c r="U386" s="1">
        <v>-235532291</v>
      </c>
      <c r="V386" s="1">
        <v>-464632288</v>
      </c>
      <c r="W386" t="s">
        <v>944</v>
      </c>
      <c r="X386">
        <v>1</v>
      </c>
      <c r="Y386" t="s">
        <v>34</v>
      </c>
    </row>
    <row r="387" spans="1:25" x14ac:dyDescent="0.3">
      <c r="A387">
        <v>386</v>
      </c>
      <c r="B387">
        <v>386</v>
      </c>
      <c r="C387">
        <v>61412110039108</v>
      </c>
      <c r="D387">
        <v>33</v>
      </c>
      <c r="E387" t="s">
        <v>1604</v>
      </c>
      <c r="F387">
        <v>33</v>
      </c>
      <c r="G387" t="s">
        <v>1641</v>
      </c>
      <c r="H387" t="str">
        <f t="shared" ref="H387:H450" si="6">G387 &amp; " - "&amp; E387 &amp;" - LOJA " &amp;B387</f>
        <v>REDE 33 - BANDEIRA 33 - LOJA 386</v>
      </c>
      <c r="I387">
        <v>2</v>
      </c>
      <c r="J387" t="s">
        <v>1646</v>
      </c>
      <c r="K387">
        <v>3</v>
      </c>
      <c r="L387" t="s">
        <v>945</v>
      </c>
      <c r="M387">
        <v>2</v>
      </c>
      <c r="N387" t="s">
        <v>36</v>
      </c>
      <c r="O387">
        <v>2</v>
      </c>
      <c r="P387" t="s">
        <v>37</v>
      </c>
      <c r="Q387" t="s">
        <v>38</v>
      </c>
      <c r="R387">
        <v>2</v>
      </c>
      <c r="S387" t="s">
        <v>39</v>
      </c>
      <c r="T387" t="s">
        <v>946</v>
      </c>
      <c r="U387" s="1">
        <v>-236255822</v>
      </c>
      <c r="V387" s="1">
        <v>-466670424</v>
      </c>
      <c r="W387" t="s">
        <v>468</v>
      </c>
      <c r="X387">
        <v>1</v>
      </c>
      <c r="Y387" t="s">
        <v>34</v>
      </c>
    </row>
    <row r="388" spans="1:25" x14ac:dyDescent="0.3">
      <c r="A388">
        <v>387</v>
      </c>
      <c r="B388">
        <v>387</v>
      </c>
      <c r="C388">
        <v>61412110039019</v>
      </c>
      <c r="D388">
        <v>33</v>
      </c>
      <c r="E388" t="s">
        <v>1604</v>
      </c>
      <c r="F388">
        <v>33</v>
      </c>
      <c r="G388" t="s">
        <v>1641</v>
      </c>
      <c r="H388" t="str">
        <f t="shared" si="6"/>
        <v>REDE 33 - BANDEIRA 33 - LOJA 387</v>
      </c>
      <c r="I388">
        <v>2</v>
      </c>
      <c r="J388" t="s">
        <v>1646</v>
      </c>
      <c r="K388">
        <v>3</v>
      </c>
      <c r="L388" t="s">
        <v>947</v>
      </c>
      <c r="M388">
        <v>2</v>
      </c>
      <c r="N388" t="s">
        <v>36</v>
      </c>
      <c r="O388">
        <v>2</v>
      </c>
      <c r="P388" t="s">
        <v>37</v>
      </c>
      <c r="Q388" t="s">
        <v>38</v>
      </c>
      <c r="R388">
        <v>2</v>
      </c>
      <c r="S388" t="s">
        <v>39</v>
      </c>
      <c r="T388" t="s">
        <v>948</v>
      </c>
      <c r="U388" s="1">
        <v>-235416704</v>
      </c>
      <c r="V388" s="1">
        <v>-46655617</v>
      </c>
      <c r="W388" t="s">
        <v>875</v>
      </c>
      <c r="X388">
        <v>1</v>
      </c>
      <c r="Y388" t="s">
        <v>34</v>
      </c>
    </row>
    <row r="389" spans="1:25" x14ac:dyDescent="0.3">
      <c r="A389">
        <v>388</v>
      </c>
      <c r="B389">
        <v>388</v>
      </c>
      <c r="C389">
        <v>61412110000740</v>
      </c>
      <c r="D389">
        <v>33</v>
      </c>
      <c r="E389" t="s">
        <v>1604</v>
      </c>
      <c r="F389">
        <v>33</v>
      </c>
      <c r="G389" t="s">
        <v>1641</v>
      </c>
      <c r="H389" t="str">
        <f t="shared" si="6"/>
        <v>REDE 33 - BANDEIRA 33 - LOJA 388</v>
      </c>
      <c r="I389">
        <v>2</v>
      </c>
      <c r="J389" t="s">
        <v>1646</v>
      </c>
      <c r="K389">
        <v>3</v>
      </c>
      <c r="L389" t="s">
        <v>949</v>
      </c>
      <c r="M389">
        <v>2</v>
      </c>
      <c r="N389" t="s">
        <v>36</v>
      </c>
      <c r="O389">
        <v>2</v>
      </c>
      <c r="P389" t="s">
        <v>37</v>
      </c>
      <c r="Q389" t="s">
        <v>38</v>
      </c>
      <c r="R389">
        <v>2</v>
      </c>
      <c r="S389" t="s">
        <v>39</v>
      </c>
      <c r="T389" t="s">
        <v>950</v>
      </c>
      <c r="U389" s="1">
        <v>-236248583</v>
      </c>
      <c r="V389" s="1">
        <v>-466284347</v>
      </c>
      <c r="W389" t="s">
        <v>951</v>
      </c>
      <c r="X389">
        <v>1</v>
      </c>
      <c r="Y389" t="s">
        <v>34</v>
      </c>
    </row>
    <row r="390" spans="1:25" x14ac:dyDescent="0.3">
      <c r="A390">
        <v>389</v>
      </c>
      <c r="B390">
        <v>389</v>
      </c>
      <c r="C390">
        <v>61412110111810</v>
      </c>
      <c r="D390">
        <v>33</v>
      </c>
      <c r="E390" t="s">
        <v>1604</v>
      </c>
      <c r="F390">
        <v>33</v>
      </c>
      <c r="G390" t="s">
        <v>1641</v>
      </c>
      <c r="H390" t="str">
        <f t="shared" si="6"/>
        <v>REDE 33 - BANDEIRA 33 - LOJA 389</v>
      </c>
      <c r="I390">
        <v>2</v>
      </c>
      <c r="J390" t="s">
        <v>1646</v>
      </c>
      <c r="K390">
        <v>3</v>
      </c>
      <c r="L390" t="s">
        <v>952</v>
      </c>
      <c r="M390">
        <v>2</v>
      </c>
      <c r="N390" t="s">
        <v>36</v>
      </c>
      <c r="O390">
        <v>2</v>
      </c>
      <c r="P390" t="s">
        <v>37</v>
      </c>
      <c r="Q390" t="s">
        <v>38</v>
      </c>
      <c r="R390">
        <v>2</v>
      </c>
      <c r="S390" t="s">
        <v>39</v>
      </c>
      <c r="T390" t="s">
        <v>953</v>
      </c>
      <c r="U390" s="1">
        <v>-235873394</v>
      </c>
      <c r="V390" s="1">
        <v>-467266776</v>
      </c>
      <c r="W390" t="s">
        <v>395</v>
      </c>
      <c r="X390">
        <v>1</v>
      </c>
      <c r="Y390" t="s">
        <v>34</v>
      </c>
    </row>
    <row r="391" spans="1:25" x14ac:dyDescent="0.3">
      <c r="A391">
        <v>390</v>
      </c>
      <c r="B391">
        <v>390</v>
      </c>
      <c r="C391">
        <v>61412110013729</v>
      </c>
      <c r="D391">
        <v>33</v>
      </c>
      <c r="E391" t="s">
        <v>1604</v>
      </c>
      <c r="F391">
        <v>33</v>
      </c>
      <c r="G391" t="s">
        <v>1641</v>
      </c>
      <c r="H391" t="str">
        <f t="shared" si="6"/>
        <v>REDE 33 - BANDEIRA 33 - LOJA 390</v>
      </c>
      <c r="I391">
        <v>2</v>
      </c>
      <c r="J391" t="s">
        <v>1646</v>
      </c>
      <c r="K391">
        <v>3</v>
      </c>
      <c r="L391" t="s">
        <v>954</v>
      </c>
      <c r="M391">
        <v>2</v>
      </c>
      <c r="N391" t="s">
        <v>36</v>
      </c>
      <c r="O391">
        <v>2</v>
      </c>
      <c r="P391" t="s">
        <v>37</v>
      </c>
      <c r="Q391" t="s">
        <v>38</v>
      </c>
      <c r="R391">
        <v>2</v>
      </c>
      <c r="S391" t="s">
        <v>39</v>
      </c>
      <c r="T391" t="s">
        <v>955</v>
      </c>
      <c r="U391" s="1">
        <v>-236220347</v>
      </c>
      <c r="V391" s="1">
        <v>-466284902</v>
      </c>
      <c r="W391" t="s">
        <v>956</v>
      </c>
      <c r="X391">
        <v>1</v>
      </c>
      <c r="Y391" t="s">
        <v>34</v>
      </c>
    </row>
    <row r="392" spans="1:25" x14ac:dyDescent="0.3">
      <c r="A392">
        <v>391</v>
      </c>
      <c r="B392">
        <v>391</v>
      </c>
      <c r="C392">
        <v>61412110056029</v>
      </c>
      <c r="D392">
        <v>33</v>
      </c>
      <c r="E392" t="s">
        <v>1604</v>
      </c>
      <c r="F392">
        <v>33</v>
      </c>
      <c r="G392" t="s">
        <v>1641</v>
      </c>
      <c r="H392" t="str">
        <f t="shared" si="6"/>
        <v>REDE 33 - BANDEIRA 33 - LOJA 391</v>
      </c>
      <c r="I392">
        <v>2</v>
      </c>
      <c r="J392" t="s">
        <v>1646</v>
      </c>
      <c r="K392">
        <v>3</v>
      </c>
      <c r="L392" t="s">
        <v>957</v>
      </c>
      <c r="M392">
        <v>2</v>
      </c>
      <c r="N392" t="s">
        <v>36</v>
      </c>
      <c r="O392">
        <v>2</v>
      </c>
      <c r="P392" t="s">
        <v>37</v>
      </c>
      <c r="Q392" t="s">
        <v>38</v>
      </c>
      <c r="R392">
        <v>2</v>
      </c>
      <c r="S392" t="s">
        <v>39</v>
      </c>
      <c r="T392" t="s">
        <v>958</v>
      </c>
      <c r="U392" s="1">
        <v>-236525234</v>
      </c>
      <c r="V392" s="1">
        <v>-466799277999999</v>
      </c>
      <c r="W392" t="s">
        <v>915</v>
      </c>
      <c r="X392">
        <v>1</v>
      </c>
      <c r="Y392" t="s">
        <v>34</v>
      </c>
    </row>
    <row r="393" spans="1:25" x14ac:dyDescent="0.3">
      <c r="A393">
        <v>392</v>
      </c>
      <c r="B393">
        <v>392</v>
      </c>
      <c r="C393">
        <v>61412110048948</v>
      </c>
      <c r="D393">
        <v>33</v>
      </c>
      <c r="E393" t="s">
        <v>1604</v>
      </c>
      <c r="F393">
        <v>33</v>
      </c>
      <c r="G393" t="s">
        <v>1641</v>
      </c>
      <c r="H393" t="str">
        <f t="shared" si="6"/>
        <v>REDE 33 - BANDEIRA 33 - LOJA 392</v>
      </c>
      <c r="I393">
        <v>2</v>
      </c>
      <c r="J393" t="s">
        <v>1646</v>
      </c>
      <c r="K393">
        <v>3</v>
      </c>
      <c r="L393" t="s">
        <v>959</v>
      </c>
      <c r="M393">
        <v>2</v>
      </c>
      <c r="N393" t="s">
        <v>36</v>
      </c>
      <c r="O393">
        <v>2</v>
      </c>
      <c r="P393" t="s">
        <v>37</v>
      </c>
      <c r="Q393" t="s">
        <v>38</v>
      </c>
      <c r="R393">
        <v>2</v>
      </c>
      <c r="S393" t="s">
        <v>39</v>
      </c>
      <c r="T393" t="s">
        <v>960</v>
      </c>
      <c r="U393" s="1">
        <v>-236385095</v>
      </c>
      <c r="V393" s="1">
        <v>-466425141</v>
      </c>
      <c r="W393" t="s">
        <v>961</v>
      </c>
      <c r="X393">
        <v>1</v>
      </c>
      <c r="Y393" t="s">
        <v>34</v>
      </c>
    </row>
    <row r="394" spans="1:25" x14ac:dyDescent="0.3">
      <c r="A394">
        <v>393</v>
      </c>
      <c r="B394">
        <v>393</v>
      </c>
      <c r="C394">
        <v>61412110017635</v>
      </c>
      <c r="D394">
        <v>33</v>
      </c>
      <c r="E394" t="s">
        <v>1604</v>
      </c>
      <c r="F394">
        <v>33</v>
      </c>
      <c r="G394" t="s">
        <v>1641</v>
      </c>
      <c r="H394" t="str">
        <f t="shared" si="6"/>
        <v>REDE 33 - BANDEIRA 33 - LOJA 393</v>
      </c>
      <c r="I394">
        <v>2</v>
      </c>
      <c r="J394" t="s">
        <v>1646</v>
      </c>
      <c r="K394">
        <v>3</v>
      </c>
      <c r="L394" t="s">
        <v>962</v>
      </c>
      <c r="M394">
        <v>2</v>
      </c>
      <c r="N394" t="s">
        <v>36</v>
      </c>
      <c r="O394">
        <v>2</v>
      </c>
      <c r="P394" t="s">
        <v>37</v>
      </c>
      <c r="Q394" t="s">
        <v>38</v>
      </c>
      <c r="R394">
        <v>2</v>
      </c>
      <c r="S394" t="s">
        <v>39</v>
      </c>
      <c r="T394" t="s">
        <v>963</v>
      </c>
      <c r="U394" s="1">
        <v>-236300213</v>
      </c>
      <c r="V394" s="1">
        <v>-467039762</v>
      </c>
      <c r="W394" t="s">
        <v>964</v>
      </c>
      <c r="X394">
        <v>1</v>
      </c>
      <c r="Y394" t="s">
        <v>34</v>
      </c>
    </row>
    <row r="395" spans="1:25" x14ac:dyDescent="0.3">
      <c r="A395">
        <v>394</v>
      </c>
      <c r="B395">
        <v>394</v>
      </c>
      <c r="C395">
        <v>61412110096756</v>
      </c>
      <c r="D395">
        <v>33</v>
      </c>
      <c r="E395" t="s">
        <v>1604</v>
      </c>
      <c r="F395">
        <v>33</v>
      </c>
      <c r="G395" t="s">
        <v>1641</v>
      </c>
      <c r="H395" t="str">
        <f t="shared" si="6"/>
        <v>REDE 33 - BANDEIRA 33 - LOJA 394</v>
      </c>
      <c r="I395">
        <v>2</v>
      </c>
      <c r="J395" t="s">
        <v>1646</v>
      </c>
      <c r="K395">
        <v>3</v>
      </c>
      <c r="L395" t="s">
        <v>965</v>
      </c>
      <c r="M395">
        <v>2</v>
      </c>
      <c r="N395" t="s">
        <v>36</v>
      </c>
      <c r="O395">
        <v>2</v>
      </c>
      <c r="P395" t="s">
        <v>37</v>
      </c>
      <c r="Q395" t="s">
        <v>38</v>
      </c>
      <c r="R395">
        <v>2</v>
      </c>
      <c r="S395" t="s">
        <v>39</v>
      </c>
      <c r="T395" t="s">
        <v>966</v>
      </c>
      <c r="U395" s="1">
        <v>-236029632</v>
      </c>
      <c r="V395" s="1">
        <v>-466397501999999</v>
      </c>
      <c r="W395" t="s">
        <v>505</v>
      </c>
      <c r="X395">
        <v>1</v>
      </c>
      <c r="Y395" t="s">
        <v>34</v>
      </c>
    </row>
    <row r="396" spans="1:25" x14ac:dyDescent="0.3">
      <c r="A396">
        <v>395</v>
      </c>
      <c r="B396">
        <v>395</v>
      </c>
      <c r="C396">
        <v>61412110005890</v>
      </c>
      <c r="D396">
        <v>33</v>
      </c>
      <c r="E396" t="s">
        <v>1604</v>
      </c>
      <c r="F396">
        <v>33</v>
      </c>
      <c r="G396" t="s">
        <v>1641</v>
      </c>
      <c r="H396" t="str">
        <f t="shared" si="6"/>
        <v>REDE 33 - BANDEIRA 33 - LOJA 395</v>
      </c>
      <c r="I396">
        <v>2</v>
      </c>
      <c r="J396" t="s">
        <v>1646</v>
      </c>
      <c r="K396">
        <v>3</v>
      </c>
      <c r="L396" t="s">
        <v>967</v>
      </c>
      <c r="M396">
        <v>2</v>
      </c>
      <c r="N396" t="s">
        <v>36</v>
      </c>
      <c r="O396">
        <v>2</v>
      </c>
      <c r="P396" t="s">
        <v>37</v>
      </c>
      <c r="Q396" t="s">
        <v>38</v>
      </c>
      <c r="R396">
        <v>2</v>
      </c>
      <c r="S396" t="s">
        <v>39</v>
      </c>
      <c r="T396" t="s">
        <v>968</v>
      </c>
      <c r="U396" s="1">
        <v>-236952326</v>
      </c>
      <c r="V396" s="1">
        <v>-467006362</v>
      </c>
      <c r="W396" t="s">
        <v>969</v>
      </c>
      <c r="X396">
        <v>1</v>
      </c>
      <c r="Y396" t="s">
        <v>34</v>
      </c>
    </row>
    <row r="397" spans="1:25" x14ac:dyDescent="0.3">
      <c r="A397">
        <v>396</v>
      </c>
      <c r="B397">
        <v>396</v>
      </c>
      <c r="C397">
        <v>61412110065010</v>
      </c>
      <c r="D397">
        <v>33</v>
      </c>
      <c r="E397" t="s">
        <v>1604</v>
      </c>
      <c r="F397">
        <v>33</v>
      </c>
      <c r="G397" t="s">
        <v>1641</v>
      </c>
      <c r="H397" t="str">
        <f t="shared" si="6"/>
        <v>REDE 33 - BANDEIRA 33 - LOJA 396</v>
      </c>
      <c r="I397">
        <v>2</v>
      </c>
      <c r="J397" t="s">
        <v>1646</v>
      </c>
      <c r="K397">
        <v>3</v>
      </c>
      <c r="L397" t="s">
        <v>970</v>
      </c>
      <c r="M397">
        <v>2</v>
      </c>
      <c r="N397" t="s">
        <v>36</v>
      </c>
      <c r="O397">
        <v>2</v>
      </c>
      <c r="P397" t="s">
        <v>37</v>
      </c>
      <c r="Q397" t="s">
        <v>38</v>
      </c>
      <c r="R397">
        <v>2</v>
      </c>
      <c r="S397" t="s">
        <v>39</v>
      </c>
      <c r="T397" t="s">
        <v>971</v>
      </c>
      <c r="U397" s="1">
        <v>-235401068</v>
      </c>
      <c r="V397" s="1">
        <v>-465521998</v>
      </c>
      <c r="W397" t="s">
        <v>493</v>
      </c>
      <c r="X397">
        <v>1</v>
      </c>
      <c r="Y397" t="s">
        <v>34</v>
      </c>
    </row>
    <row r="398" spans="1:25" x14ac:dyDescent="0.3">
      <c r="A398">
        <v>397</v>
      </c>
      <c r="B398">
        <v>397</v>
      </c>
      <c r="C398">
        <v>61412110017040</v>
      </c>
      <c r="D398">
        <v>33</v>
      </c>
      <c r="E398" t="s">
        <v>1604</v>
      </c>
      <c r="F398">
        <v>33</v>
      </c>
      <c r="G398" t="s">
        <v>1641</v>
      </c>
      <c r="H398" t="str">
        <f t="shared" si="6"/>
        <v>REDE 33 - BANDEIRA 33 - LOJA 397</v>
      </c>
      <c r="I398">
        <v>2</v>
      </c>
      <c r="J398" t="s">
        <v>1646</v>
      </c>
      <c r="K398">
        <v>3</v>
      </c>
      <c r="L398" t="s">
        <v>972</v>
      </c>
      <c r="M398">
        <v>2</v>
      </c>
      <c r="N398" t="s">
        <v>36</v>
      </c>
      <c r="O398">
        <v>2</v>
      </c>
      <c r="P398" t="s">
        <v>37</v>
      </c>
      <c r="Q398" t="s">
        <v>38</v>
      </c>
      <c r="R398">
        <v>2</v>
      </c>
      <c r="S398" t="s">
        <v>39</v>
      </c>
      <c r="T398" t="s">
        <v>973</v>
      </c>
      <c r="U398" s="1">
        <v>-236604262</v>
      </c>
      <c r="V398" s="1">
        <v>-467672011</v>
      </c>
      <c r="W398" t="s">
        <v>637</v>
      </c>
      <c r="X398">
        <v>1</v>
      </c>
      <c r="Y398" t="s">
        <v>34</v>
      </c>
    </row>
    <row r="399" spans="1:25" x14ac:dyDescent="0.3">
      <c r="A399">
        <v>398</v>
      </c>
      <c r="B399">
        <v>398</v>
      </c>
      <c r="C399">
        <v>61412110080248</v>
      </c>
      <c r="D399">
        <v>33</v>
      </c>
      <c r="E399" t="s">
        <v>1604</v>
      </c>
      <c r="F399">
        <v>33</v>
      </c>
      <c r="G399" t="s">
        <v>1641</v>
      </c>
      <c r="H399" t="str">
        <f t="shared" si="6"/>
        <v>REDE 33 - BANDEIRA 33 - LOJA 398</v>
      </c>
      <c r="I399">
        <v>2</v>
      </c>
      <c r="J399" t="s">
        <v>1646</v>
      </c>
      <c r="K399">
        <v>3</v>
      </c>
      <c r="L399" t="s">
        <v>974</v>
      </c>
      <c r="M399">
        <v>2</v>
      </c>
      <c r="N399" t="s">
        <v>36</v>
      </c>
      <c r="O399">
        <v>2</v>
      </c>
      <c r="P399" t="s">
        <v>37</v>
      </c>
      <c r="Q399" t="s">
        <v>38</v>
      </c>
      <c r="R399">
        <v>2</v>
      </c>
      <c r="S399" t="s">
        <v>39</v>
      </c>
      <c r="T399" t="s">
        <v>975</v>
      </c>
      <c r="U399" s="1">
        <v>-237218175</v>
      </c>
      <c r="V399" s="1">
        <v>-466890497</v>
      </c>
      <c r="W399" t="s">
        <v>976</v>
      </c>
      <c r="X399">
        <v>1</v>
      </c>
      <c r="Y399" t="s">
        <v>34</v>
      </c>
    </row>
    <row r="400" spans="1:25" x14ac:dyDescent="0.3">
      <c r="A400">
        <v>399</v>
      </c>
      <c r="B400">
        <v>399</v>
      </c>
      <c r="C400">
        <v>43943536000153</v>
      </c>
      <c r="D400">
        <v>3</v>
      </c>
      <c r="E400" t="s">
        <v>1574</v>
      </c>
      <c r="F400">
        <v>3</v>
      </c>
      <c r="G400" t="s">
        <v>1611</v>
      </c>
      <c r="H400" t="str">
        <f t="shared" si="6"/>
        <v>REDE 3 - BANDEIRA 3 - LOJA 399</v>
      </c>
      <c r="I400">
        <v>1</v>
      </c>
      <c r="J400" t="s">
        <v>26</v>
      </c>
      <c r="K400">
        <v>1</v>
      </c>
      <c r="L400" t="s">
        <v>445</v>
      </c>
      <c r="M400">
        <v>2</v>
      </c>
      <c r="N400" t="s">
        <v>36</v>
      </c>
      <c r="O400">
        <v>2</v>
      </c>
      <c r="P400" t="s">
        <v>37</v>
      </c>
      <c r="Q400" t="s">
        <v>38</v>
      </c>
      <c r="R400">
        <v>2</v>
      </c>
      <c r="S400" t="s">
        <v>39</v>
      </c>
      <c r="T400" t="s">
        <v>446</v>
      </c>
      <c r="U400" s="1">
        <v>-235741028</v>
      </c>
      <c r="V400" s="1">
        <v>-466959681</v>
      </c>
      <c r="W400" t="s">
        <v>334</v>
      </c>
      <c r="X400">
        <v>1</v>
      </c>
      <c r="Y400" t="s">
        <v>34</v>
      </c>
    </row>
    <row r="401" spans="1:25" x14ac:dyDescent="0.3">
      <c r="A401">
        <v>400</v>
      </c>
      <c r="B401">
        <v>400</v>
      </c>
      <c r="C401">
        <v>45825629000109</v>
      </c>
      <c r="D401">
        <v>34</v>
      </c>
      <c r="E401" t="s">
        <v>1573</v>
      </c>
      <c r="F401">
        <v>34</v>
      </c>
      <c r="G401" t="s">
        <v>1610</v>
      </c>
      <c r="H401" t="str">
        <f t="shared" si="6"/>
        <v>REDE 34 - BANDEIRA 34 - LOJA 400</v>
      </c>
      <c r="I401">
        <v>1</v>
      </c>
      <c r="J401" t="s">
        <v>26</v>
      </c>
      <c r="K401">
        <v>2</v>
      </c>
      <c r="L401" t="s">
        <v>977</v>
      </c>
      <c r="M401">
        <v>2</v>
      </c>
      <c r="N401" t="s">
        <v>36</v>
      </c>
      <c r="O401">
        <v>2</v>
      </c>
      <c r="P401" t="s">
        <v>37</v>
      </c>
      <c r="Q401" t="s">
        <v>38</v>
      </c>
      <c r="R401">
        <v>2</v>
      </c>
      <c r="S401" t="s">
        <v>39</v>
      </c>
      <c r="T401" t="s">
        <v>978</v>
      </c>
      <c r="U401" s="1">
        <v>-235217332</v>
      </c>
      <c r="V401" s="1">
        <v>-46568493</v>
      </c>
      <c r="W401" t="s">
        <v>800</v>
      </c>
      <c r="X401">
        <v>1</v>
      </c>
      <c r="Y401" t="s">
        <v>34</v>
      </c>
    </row>
    <row r="402" spans="1:25" x14ac:dyDescent="0.3">
      <c r="A402">
        <v>401</v>
      </c>
      <c r="B402">
        <v>401</v>
      </c>
      <c r="C402">
        <v>61412110093145</v>
      </c>
      <c r="D402">
        <v>33</v>
      </c>
      <c r="E402" t="s">
        <v>1604</v>
      </c>
      <c r="F402">
        <v>33</v>
      </c>
      <c r="G402" t="s">
        <v>1641</v>
      </c>
      <c r="H402" t="str">
        <f t="shared" si="6"/>
        <v>REDE 33 - BANDEIRA 33 - LOJA 401</v>
      </c>
      <c r="I402">
        <v>2</v>
      </c>
      <c r="J402" t="s">
        <v>1646</v>
      </c>
      <c r="K402">
        <v>3</v>
      </c>
      <c r="L402" t="s">
        <v>979</v>
      </c>
      <c r="M402">
        <v>2</v>
      </c>
      <c r="N402" t="s">
        <v>36</v>
      </c>
      <c r="O402">
        <v>2</v>
      </c>
      <c r="P402" t="s">
        <v>37</v>
      </c>
      <c r="Q402" t="s">
        <v>38</v>
      </c>
      <c r="R402">
        <v>2</v>
      </c>
      <c r="S402" t="s">
        <v>39</v>
      </c>
      <c r="T402" t="s">
        <v>980</v>
      </c>
      <c r="U402" s="1">
        <v>-235425112</v>
      </c>
      <c r="V402" s="1">
        <v>-467347069</v>
      </c>
      <c r="W402" t="s">
        <v>417</v>
      </c>
      <c r="X402">
        <v>1</v>
      </c>
      <c r="Y402" t="s">
        <v>34</v>
      </c>
    </row>
    <row r="403" spans="1:25" x14ac:dyDescent="0.3">
      <c r="A403">
        <v>402</v>
      </c>
      <c r="B403">
        <v>402</v>
      </c>
      <c r="C403">
        <v>61412110093730</v>
      </c>
      <c r="D403">
        <v>33</v>
      </c>
      <c r="E403" t="s">
        <v>1604</v>
      </c>
      <c r="F403">
        <v>33</v>
      </c>
      <c r="G403" t="s">
        <v>1641</v>
      </c>
      <c r="H403" t="str">
        <f t="shared" si="6"/>
        <v>REDE 33 - BANDEIRA 33 - LOJA 402</v>
      </c>
      <c r="I403">
        <v>2</v>
      </c>
      <c r="J403" t="s">
        <v>1646</v>
      </c>
      <c r="K403">
        <v>3</v>
      </c>
      <c r="L403" t="s">
        <v>981</v>
      </c>
      <c r="M403">
        <v>2</v>
      </c>
      <c r="N403" t="s">
        <v>36</v>
      </c>
      <c r="O403">
        <v>2</v>
      </c>
      <c r="P403" t="s">
        <v>37</v>
      </c>
      <c r="Q403" t="s">
        <v>38</v>
      </c>
      <c r="R403">
        <v>2</v>
      </c>
      <c r="S403" t="s">
        <v>39</v>
      </c>
      <c r="T403" t="s">
        <v>982</v>
      </c>
      <c r="U403" s="1">
        <v>-235612073</v>
      </c>
      <c r="V403" s="1">
        <v>-46693095</v>
      </c>
      <c r="W403" t="s">
        <v>334</v>
      </c>
      <c r="X403">
        <v>1</v>
      </c>
      <c r="Y403" t="s">
        <v>34</v>
      </c>
    </row>
    <row r="404" spans="1:25" x14ac:dyDescent="0.3">
      <c r="A404">
        <v>403</v>
      </c>
      <c r="B404">
        <v>403</v>
      </c>
      <c r="C404">
        <v>61412110106573</v>
      </c>
      <c r="D404">
        <v>33</v>
      </c>
      <c r="E404" t="s">
        <v>1604</v>
      </c>
      <c r="F404">
        <v>33</v>
      </c>
      <c r="G404" t="s">
        <v>1641</v>
      </c>
      <c r="H404" t="str">
        <f t="shared" si="6"/>
        <v>REDE 33 - BANDEIRA 33 - LOJA 403</v>
      </c>
      <c r="I404">
        <v>2</v>
      </c>
      <c r="J404" t="s">
        <v>1646</v>
      </c>
      <c r="K404">
        <v>3</v>
      </c>
      <c r="L404" t="s">
        <v>983</v>
      </c>
      <c r="M404">
        <v>2</v>
      </c>
      <c r="N404" t="s">
        <v>36</v>
      </c>
      <c r="O404">
        <v>2</v>
      </c>
      <c r="P404" t="s">
        <v>37</v>
      </c>
      <c r="Q404" t="s">
        <v>38</v>
      </c>
      <c r="R404">
        <v>2</v>
      </c>
      <c r="S404" t="s">
        <v>39</v>
      </c>
      <c r="T404" t="s">
        <v>984</v>
      </c>
      <c r="U404" s="1">
        <v>-235563462</v>
      </c>
      <c r="V404" s="1">
        <v>-466911121</v>
      </c>
      <c r="W404" t="s">
        <v>334</v>
      </c>
      <c r="X404">
        <v>1</v>
      </c>
      <c r="Y404" t="s">
        <v>34</v>
      </c>
    </row>
    <row r="405" spans="1:25" x14ac:dyDescent="0.3">
      <c r="A405">
        <v>404</v>
      </c>
      <c r="B405">
        <v>404</v>
      </c>
      <c r="C405">
        <v>61412110101695</v>
      </c>
      <c r="D405">
        <v>33</v>
      </c>
      <c r="E405" t="s">
        <v>1604</v>
      </c>
      <c r="F405">
        <v>33</v>
      </c>
      <c r="G405" t="s">
        <v>1641</v>
      </c>
      <c r="H405" t="str">
        <f t="shared" si="6"/>
        <v>REDE 33 - BANDEIRA 33 - LOJA 404</v>
      </c>
      <c r="I405">
        <v>2</v>
      </c>
      <c r="J405" t="s">
        <v>1646</v>
      </c>
      <c r="K405">
        <v>3</v>
      </c>
      <c r="L405" t="s">
        <v>985</v>
      </c>
      <c r="M405">
        <v>2</v>
      </c>
      <c r="N405" t="s">
        <v>36</v>
      </c>
      <c r="O405">
        <v>2</v>
      </c>
      <c r="P405" t="s">
        <v>37</v>
      </c>
      <c r="Q405" t="s">
        <v>38</v>
      </c>
      <c r="R405">
        <v>2</v>
      </c>
      <c r="S405" t="s">
        <v>39</v>
      </c>
      <c r="T405" t="s">
        <v>986</v>
      </c>
      <c r="U405" s="1">
        <v>-236184475</v>
      </c>
      <c r="V405" s="1">
        <v>-467411828</v>
      </c>
      <c r="W405" t="s">
        <v>987</v>
      </c>
      <c r="X405">
        <v>1</v>
      </c>
      <c r="Y405" t="s">
        <v>34</v>
      </c>
    </row>
    <row r="406" spans="1:25" x14ac:dyDescent="0.3">
      <c r="A406">
        <v>405</v>
      </c>
      <c r="B406">
        <v>405</v>
      </c>
      <c r="C406">
        <v>61412110099348</v>
      </c>
      <c r="D406">
        <v>33</v>
      </c>
      <c r="E406" t="s">
        <v>1604</v>
      </c>
      <c r="F406">
        <v>33</v>
      </c>
      <c r="G406" t="s">
        <v>1641</v>
      </c>
      <c r="H406" t="str">
        <f t="shared" si="6"/>
        <v>REDE 33 - BANDEIRA 33 - LOJA 405</v>
      </c>
      <c r="I406">
        <v>2</v>
      </c>
      <c r="J406" t="s">
        <v>1646</v>
      </c>
      <c r="K406">
        <v>3</v>
      </c>
      <c r="L406" t="s">
        <v>988</v>
      </c>
      <c r="M406">
        <v>2</v>
      </c>
      <c r="N406" t="s">
        <v>36</v>
      </c>
      <c r="O406">
        <v>2</v>
      </c>
      <c r="P406" t="s">
        <v>37</v>
      </c>
      <c r="Q406" t="s">
        <v>38</v>
      </c>
      <c r="R406">
        <v>2</v>
      </c>
      <c r="S406" t="s">
        <v>39</v>
      </c>
      <c r="T406" t="s">
        <v>394</v>
      </c>
      <c r="U406" s="1">
        <v>-235796499</v>
      </c>
      <c r="V406" s="1">
        <v>-467109260999999</v>
      </c>
      <c r="W406" t="s">
        <v>989</v>
      </c>
      <c r="X406">
        <v>1</v>
      </c>
      <c r="Y406" t="s">
        <v>34</v>
      </c>
    </row>
    <row r="407" spans="1:25" x14ac:dyDescent="0.3">
      <c r="A407">
        <v>406</v>
      </c>
      <c r="B407">
        <v>406</v>
      </c>
      <c r="C407">
        <v>61412110019336</v>
      </c>
      <c r="D407">
        <v>33</v>
      </c>
      <c r="E407" t="s">
        <v>1604</v>
      </c>
      <c r="F407">
        <v>33</v>
      </c>
      <c r="G407" t="s">
        <v>1641</v>
      </c>
      <c r="H407" t="str">
        <f t="shared" si="6"/>
        <v>REDE 33 - BANDEIRA 33 - LOJA 406</v>
      </c>
      <c r="I407">
        <v>2</v>
      </c>
      <c r="J407" t="s">
        <v>1646</v>
      </c>
      <c r="K407">
        <v>3</v>
      </c>
      <c r="L407" t="s">
        <v>990</v>
      </c>
      <c r="M407">
        <v>2</v>
      </c>
      <c r="N407" t="s">
        <v>36</v>
      </c>
      <c r="O407">
        <v>2</v>
      </c>
      <c r="P407" t="s">
        <v>37</v>
      </c>
      <c r="Q407" t="s">
        <v>38</v>
      </c>
      <c r="R407">
        <v>2</v>
      </c>
      <c r="S407" t="s">
        <v>39</v>
      </c>
      <c r="T407" t="s">
        <v>991</v>
      </c>
      <c r="U407" s="1">
        <v>-235688037</v>
      </c>
      <c r="V407" s="1">
        <v>-467149271</v>
      </c>
      <c r="W407" t="s">
        <v>395</v>
      </c>
      <c r="X407">
        <v>1</v>
      </c>
      <c r="Y407" t="s">
        <v>34</v>
      </c>
    </row>
    <row r="408" spans="1:25" x14ac:dyDescent="0.3">
      <c r="A408">
        <v>407</v>
      </c>
      <c r="B408">
        <v>407</v>
      </c>
      <c r="C408">
        <v>61412110094702</v>
      </c>
      <c r="D408">
        <v>33</v>
      </c>
      <c r="E408" t="s">
        <v>1604</v>
      </c>
      <c r="F408">
        <v>33</v>
      </c>
      <c r="G408" t="s">
        <v>1641</v>
      </c>
      <c r="H408" t="str">
        <f t="shared" si="6"/>
        <v>REDE 33 - BANDEIRA 33 - LOJA 407</v>
      </c>
      <c r="I408">
        <v>2</v>
      </c>
      <c r="J408" t="s">
        <v>1646</v>
      </c>
      <c r="K408">
        <v>3</v>
      </c>
      <c r="L408" t="s">
        <v>992</v>
      </c>
      <c r="M408">
        <v>2</v>
      </c>
      <c r="N408" t="s">
        <v>36</v>
      </c>
      <c r="O408">
        <v>2</v>
      </c>
      <c r="P408" t="s">
        <v>37</v>
      </c>
      <c r="Q408" t="s">
        <v>38</v>
      </c>
      <c r="R408">
        <v>2</v>
      </c>
      <c r="S408" t="s">
        <v>39</v>
      </c>
      <c r="T408" t="s">
        <v>993</v>
      </c>
      <c r="U408" s="1">
        <v>-235403872</v>
      </c>
      <c r="V408" s="1">
        <v>-466753308</v>
      </c>
      <c r="W408" t="s">
        <v>379</v>
      </c>
      <c r="X408">
        <v>1</v>
      </c>
      <c r="Y408" t="s">
        <v>34</v>
      </c>
    </row>
    <row r="409" spans="1:25" x14ac:dyDescent="0.3">
      <c r="A409">
        <v>408</v>
      </c>
      <c r="B409">
        <v>408</v>
      </c>
      <c r="C409">
        <v>61412110081309</v>
      </c>
      <c r="D409">
        <v>33</v>
      </c>
      <c r="E409" t="s">
        <v>1604</v>
      </c>
      <c r="F409">
        <v>33</v>
      </c>
      <c r="G409" t="s">
        <v>1641</v>
      </c>
      <c r="H409" t="str">
        <f t="shared" si="6"/>
        <v>REDE 33 - BANDEIRA 33 - LOJA 408</v>
      </c>
      <c r="I409">
        <v>2</v>
      </c>
      <c r="J409" t="s">
        <v>1646</v>
      </c>
      <c r="K409">
        <v>3</v>
      </c>
      <c r="L409" t="s">
        <v>994</v>
      </c>
      <c r="M409">
        <v>2</v>
      </c>
      <c r="N409" t="s">
        <v>36</v>
      </c>
      <c r="O409">
        <v>2</v>
      </c>
      <c r="P409" t="s">
        <v>37</v>
      </c>
      <c r="Q409" t="s">
        <v>38</v>
      </c>
      <c r="R409">
        <v>2</v>
      </c>
      <c r="S409" t="s">
        <v>39</v>
      </c>
      <c r="T409" t="s">
        <v>995</v>
      </c>
      <c r="U409" s="1">
        <v>-234868538</v>
      </c>
      <c r="V409" s="1">
        <v>-466333411</v>
      </c>
      <c r="W409" t="s">
        <v>460</v>
      </c>
      <c r="X409">
        <v>1</v>
      </c>
      <c r="Y409" t="s">
        <v>34</v>
      </c>
    </row>
    <row r="410" spans="1:25" x14ac:dyDescent="0.3">
      <c r="A410">
        <v>409</v>
      </c>
      <c r="B410">
        <v>409</v>
      </c>
      <c r="C410">
        <v>61412110036508</v>
      </c>
      <c r="D410">
        <v>33</v>
      </c>
      <c r="E410" t="s">
        <v>1604</v>
      </c>
      <c r="F410">
        <v>33</v>
      </c>
      <c r="G410" t="s">
        <v>1641</v>
      </c>
      <c r="H410" t="str">
        <f t="shared" si="6"/>
        <v>REDE 33 - BANDEIRA 33 - LOJA 409</v>
      </c>
      <c r="I410">
        <v>2</v>
      </c>
      <c r="J410" t="s">
        <v>1646</v>
      </c>
      <c r="K410">
        <v>3</v>
      </c>
      <c r="L410" t="s">
        <v>996</v>
      </c>
      <c r="M410">
        <v>2</v>
      </c>
      <c r="N410" t="s">
        <v>36</v>
      </c>
      <c r="O410">
        <v>2</v>
      </c>
      <c r="P410" t="s">
        <v>37</v>
      </c>
      <c r="Q410" t="s">
        <v>38</v>
      </c>
      <c r="R410">
        <v>2</v>
      </c>
      <c r="S410" t="s">
        <v>39</v>
      </c>
      <c r="T410" t="s">
        <v>997</v>
      </c>
      <c r="U410" s="1">
        <v>-235537375</v>
      </c>
      <c r="V410" s="1">
        <v>-467077604</v>
      </c>
      <c r="W410" t="s">
        <v>457</v>
      </c>
      <c r="X410">
        <v>1</v>
      </c>
      <c r="Y410" t="s">
        <v>34</v>
      </c>
    </row>
    <row r="411" spans="1:25" x14ac:dyDescent="0.3">
      <c r="A411">
        <v>410</v>
      </c>
      <c r="B411">
        <v>410</v>
      </c>
      <c r="C411">
        <v>61412110102586</v>
      </c>
      <c r="D411">
        <v>33</v>
      </c>
      <c r="E411" t="s">
        <v>1604</v>
      </c>
      <c r="F411">
        <v>33</v>
      </c>
      <c r="G411" t="s">
        <v>1641</v>
      </c>
      <c r="H411" t="str">
        <f t="shared" si="6"/>
        <v>REDE 33 - BANDEIRA 33 - LOJA 410</v>
      </c>
      <c r="I411">
        <v>2</v>
      </c>
      <c r="J411" t="s">
        <v>1646</v>
      </c>
      <c r="K411">
        <v>3</v>
      </c>
      <c r="L411" t="s">
        <v>998</v>
      </c>
      <c r="M411">
        <v>2</v>
      </c>
      <c r="N411" t="s">
        <v>36</v>
      </c>
      <c r="O411">
        <v>2</v>
      </c>
      <c r="P411" t="s">
        <v>37</v>
      </c>
      <c r="Q411" t="s">
        <v>38</v>
      </c>
      <c r="R411">
        <v>2</v>
      </c>
      <c r="S411" t="s">
        <v>39</v>
      </c>
      <c r="T411" t="s">
        <v>999</v>
      </c>
      <c r="U411" s="1">
        <v>-23526882</v>
      </c>
      <c r="V411" s="1">
        <v>-467275231</v>
      </c>
      <c r="W411" t="s">
        <v>510</v>
      </c>
      <c r="X411">
        <v>1</v>
      </c>
      <c r="Y411" t="s">
        <v>34</v>
      </c>
    </row>
    <row r="412" spans="1:25" x14ac:dyDescent="0.3">
      <c r="A412">
        <v>411</v>
      </c>
      <c r="B412">
        <v>411</v>
      </c>
      <c r="C412">
        <v>61412110050683</v>
      </c>
      <c r="D412">
        <v>33</v>
      </c>
      <c r="E412" t="s">
        <v>1604</v>
      </c>
      <c r="F412">
        <v>33</v>
      </c>
      <c r="G412" t="s">
        <v>1641</v>
      </c>
      <c r="H412" t="str">
        <f t="shared" si="6"/>
        <v>REDE 33 - BANDEIRA 33 - LOJA 411</v>
      </c>
      <c r="I412">
        <v>2</v>
      </c>
      <c r="J412" t="s">
        <v>1646</v>
      </c>
      <c r="K412">
        <v>3</v>
      </c>
      <c r="L412" t="s">
        <v>1000</v>
      </c>
      <c r="M412">
        <v>2</v>
      </c>
      <c r="N412" t="s">
        <v>36</v>
      </c>
      <c r="O412">
        <v>2</v>
      </c>
      <c r="P412" t="s">
        <v>37</v>
      </c>
      <c r="Q412" t="s">
        <v>38</v>
      </c>
      <c r="R412">
        <v>2</v>
      </c>
      <c r="S412" t="s">
        <v>39</v>
      </c>
      <c r="T412" t="s">
        <v>1001</v>
      </c>
      <c r="U412" s="1">
        <v>-235354178</v>
      </c>
      <c r="V412" s="1">
        <v>-466818049</v>
      </c>
      <c r="W412" t="s">
        <v>379</v>
      </c>
      <c r="X412">
        <v>1</v>
      </c>
      <c r="Y412" t="s">
        <v>34</v>
      </c>
    </row>
    <row r="413" spans="1:25" x14ac:dyDescent="0.3">
      <c r="A413">
        <v>412</v>
      </c>
      <c r="B413">
        <v>412</v>
      </c>
      <c r="C413">
        <v>61412110085983</v>
      </c>
      <c r="D413">
        <v>33</v>
      </c>
      <c r="E413" t="s">
        <v>1604</v>
      </c>
      <c r="F413">
        <v>33</v>
      </c>
      <c r="G413" t="s">
        <v>1641</v>
      </c>
      <c r="H413" t="str">
        <f t="shared" si="6"/>
        <v>REDE 33 - BANDEIRA 33 - LOJA 412</v>
      </c>
      <c r="I413">
        <v>2</v>
      </c>
      <c r="J413" t="s">
        <v>1646</v>
      </c>
      <c r="K413">
        <v>3</v>
      </c>
      <c r="L413" t="s">
        <v>1002</v>
      </c>
      <c r="M413">
        <v>2</v>
      </c>
      <c r="N413" t="s">
        <v>36</v>
      </c>
      <c r="O413">
        <v>2</v>
      </c>
      <c r="P413" t="s">
        <v>37</v>
      </c>
      <c r="Q413" t="s">
        <v>38</v>
      </c>
      <c r="R413">
        <v>2</v>
      </c>
      <c r="S413" t="s">
        <v>39</v>
      </c>
      <c r="T413" t="s">
        <v>1003</v>
      </c>
      <c r="U413" s="1">
        <v>-15744491</v>
      </c>
      <c r="V413" s="1">
        <v>-47914510</v>
      </c>
      <c r="W413" t="s">
        <v>379</v>
      </c>
      <c r="X413">
        <v>1</v>
      </c>
      <c r="Y413" t="s">
        <v>34</v>
      </c>
    </row>
    <row r="414" spans="1:25" x14ac:dyDescent="0.3">
      <c r="A414">
        <v>413</v>
      </c>
      <c r="B414">
        <v>413</v>
      </c>
      <c r="C414">
        <v>61412110079746</v>
      </c>
      <c r="D414">
        <v>33</v>
      </c>
      <c r="E414" t="s">
        <v>1604</v>
      </c>
      <c r="F414">
        <v>33</v>
      </c>
      <c r="G414" t="s">
        <v>1641</v>
      </c>
      <c r="H414" t="str">
        <f t="shared" si="6"/>
        <v>REDE 33 - BANDEIRA 33 - LOJA 413</v>
      </c>
      <c r="I414">
        <v>2</v>
      </c>
      <c r="J414" t="s">
        <v>1646</v>
      </c>
      <c r="K414">
        <v>3</v>
      </c>
      <c r="L414" t="s">
        <v>1004</v>
      </c>
      <c r="M414">
        <v>2</v>
      </c>
      <c r="N414" t="s">
        <v>36</v>
      </c>
      <c r="O414">
        <v>2</v>
      </c>
      <c r="P414" t="s">
        <v>37</v>
      </c>
      <c r="Q414" t="s">
        <v>38</v>
      </c>
      <c r="R414">
        <v>2</v>
      </c>
      <c r="S414" t="s">
        <v>39</v>
      </c>
      <c r="T414" t="s">
        <v>1005</v>
      </c>
      <c r="U414" s="1">
        <v>-235406183</v>
      </c>
      <c r="V414" s="1">
        <v>-46701799</v>
      </c>
      <c r="W414" t="s">
        <v>1006</v>
      </c>
      <c r="X414">
        <v>1</v>
      </c>
      <c r="Y414" t="s">
        <v>34</v>
      </c>
    </row>
    <row r="415" spans="1:25" x14ac:dyDescent="0.3">
      <c r="A415">
        <v>414</v>
      </c>
      <c r="B415">
        <v>414</v>
      </c>
      <c r="C415">
        <v>61412110025573</v>
      </c>
      <c r="D415">
        <v>33</v>
      </c>
      <c r="E415" t="s">
        <v>1604</v>
      </c>
      <c r="F415">
        <v>33</v>
      </c>
      <c r="G415" t="s">
        <v>1641</v>
      </c>
      <c r="H415" t="str">
        <f t="shared" si="6"/>
        <v>REDE 33 - BANDEIRA 33 - LOJA 414</v>
      </c>
      <c r="I415">
        <v>2</v>
      </c>
      <c r="J415" t="s">
        <v>1646</v>
      </c>
      <c r="K415">
        <v>3</v>
      </c>
      <c r="L415" t="s">
        <v>1007</v>
      </c>
      <c r="M415">
        <v>2</v>
      </c>
      <c r="N415" t="s">
        <v>36</v>
      </c>
      <c r="O415">
        <v>2</v>
      </c>
      <c r="P415" t="s">
        <v>37</v>
      </c>
      <c r="Q415" t="s">
        <v>38</v>
      </c>
      <c r="R415">
        <v>2</v>
      </c>
      <c r="S415" t="s">
        <v>39</v>
      </c>
      <c r="T415" t="s">
        <v>765</v>
      </c>
      <c r="U415" s="1">
        <v>-235401806</v>
      </c>
      <c r="V415" s="1">
        <v>-467180848</v>
      </c>
      <c r="W415" t="s">
        <v>457</v>
      </c>
      <c r="X415">
        <v>1</v>
      </c>
      <c r="Y415" t="s">
        <v>34</v>
      </c>
    </row>
    <row r="416" spans="1:25" x14ac:dyDescent="0.3">
      <c r="A416">
        <v>415</v>
      </c>
      <c r="B416">
        <v>415</v>
      </c>
      <c r="C416">
        <v>61412110091959</v>
      </c>
      <c r="D416">
        <v>33</v>
      </c>
      <c r="E416" t="s">
        <v>1604</v>
      </c>
      <c r="F416">
        <v>33</v>
      </c>
      <c r="G416" t="s">
        <v>1641</v>
      </c>
      <c r="H416" t="str">
        <f t="shared" si="6"/>
        <v>REDE 33 - BANDEIRA 33 - LOJA 415</v>
      </c>
      <c r="I416">
        <v>2</v>
      </c>
      <c r="J416" t="s">
        <v>1646</v>
      </c>
      <c r="K416">
        <v>3</v>
      </c>
      <c r="L416" t="s">
        <v>1008</v>
      </c>
      <c r="M416">
        <v>2</v>
      </c>
      <c r="N416" t="s">
        <v>36</v>
      </c>
      <c r="O416">
        <v>2</v>
      </c>
      <c r="P416" t="s">
        <v>37</v>
      </c>
      <c r="Q416" t="s">
        <v>38</v>
      </c>
      <c r="R416">
        <v>2</v>
      </c>
      <c r="S416" t="s">
        <v>39</v>
      </c>
      <c r="T416" t="s">
        <v>1009</v>
      </c>
      <c r="U416" s="1">
        <v>-235569616</v>
      </c>
      <c r="V416" s="1">
        <v>-466980648</v>
      </c>
      <c r="W416" t="s">
        <v>264</v>
      </c>
      <c r="X416">
        <v>1</v>
      </c>
      <c r="Y416" t="s">
        <v>34</v>
      </c>
    </row>
    <row r="417" spans="1:25" x14ac:dyDescent="0.3">
      <c r="A417">
        <v>416</v>
      </c>
      <c r="B417">
        <v>416</v>
      </c>
      <c r="C417">
        <v>61412110002107</v>
      </c>
      <c r="D417">
        <v>33</v>
      </c>
      <c r="E417" t="s">
        <v>1604</v>
      </c>
      <c r="F417">
        <v>33</v>
      </c>
      <c r="G417" t="s">
        <v>1641</v>
      </c>
      <c r="H417" t="str">
        <f t="shared" si="6"/>
        <v>REDE 33 - BANDEIRA 33 - LOJA 416</v>
      </c>
      <c r="I417">
        <v>2</v>
      </c>
      <c r="J417" t="s">
        <v>1646</v>
      </c>
      <c r="K417">
        <v>3</v>
      </c>
      <c r="L417" t="s">
        <v>1010</v>
      </c>
      <c r="M417">
        <v>2</v>
      </c>
      <c r="N417" t="s">
        <v>36</v>
      </c>
      <c r="O417">
        <v>2</v>
      </c>
      <c r="P417" t="s">
        <v>37</v>
      </c>
      <c r="Q417" t="s">
        <v>38</v>
      </c>
      <c r="R417">
        <v>2</v>
      </c>
      <c r="S417" t="s">
        <v>39</v>
      </c>
      <c r="T417" t="s">
        <v>1011</v>
      </c>
      <c r="U417" s="1">
        <v>-2356365</v>
      </c>
      <c r="V417" s="1">
        <v>-466879516</v>
      </c>
      <c r="W417" t="s">
        <v>334</v>
      </c>
      <c r="X417">
        <v>1</v>
      </c>
      <c r="Y417" t="s">
        <v>34</v>
      </c>
    </row>
    <row r="418" spans="1:25" x14ac:dyDescent="0.3">
      <c r="A418">
        <v>417</v>
      </c>
      <c r="B418">
        <v>417</v>
      </c>
      <c r="C418">
        <v>61412110043393</v>
      </c>
      <c r="D418">
        <v>33</v>
      </c>
      <c r="E418" t="s">
        <v>1604</v>
      </c>
      <c r="F418">
        <v>33</v>
      </c>
      <c r="G418" t="s">
        <v>1641</v>
      </c>
      <c r="H418" t="str">
        <f t="shared" si="6"/>
        <v>REDE 33 - BANDEIRA 33 - LOJA 417</v>
      </c>
      <c r="I418">
        <v>2</v>
      </c>
      <c r="J418" t="s">
        <v>1646</v>
      </c>
      <c r="K418">
        <v>3</v>
      </c>
      <c r="L418" t="s">
        <v>1012</v>
      </c>
      <c r="M418">
        <v>2</v>
      </c>
      <c r="N418" t="s">
        <v>36</v>
      </c>
      <c r="O418">
        <v>2</v>
      </c>
      <c r="P418" t="s">
        <v>37</v>
      </c>
      <c r="Q418" t="s">
        <v>38</v>
      </c>
      <c r="R418">
        <v>2</v>
      </c>
      <c r="S418" t="s">
        <v>39</v>
      </c>
      <c r="T418" t="s">
        <v>1013</v>
      </c>
      <c r="U418" s="1">
        <v>-234940584</v>
      </c>
      <c r="V418" s="1">
        <v>-46737132</v>
      </c>
      <c r="W418" t="s">
        <v>1014</v>
      </c>
      <c r="X418">
        <v>1</v>
      </c>
      <c r="Y418" t="s">
        <v>34</v>
      </c>
    </row>
    <row r="419" spans="1:25" x14ac:dyDescent="0.3">
      <c r="A419">
        <v>418</v>
      </c>
      <c r="B419">
        <v>418</v>
      </c>
      <c r="C419">
        <v>61412110095784</v>
      </c>
      <c r="D419">
        <v>33</v>
      </c>
      <c r="E419" t="s">
        <v>1604</v>
      </c>
      <c r="F419">
        <v>33</v>
      </c>
      <c r="G419" t="s">
        <v>1641</v>
      </c>
      <c r="H419" t="str">
        <f t="shared" si="6"/>
        <v>REDE 33 - BANDEIRA 33 - LOJA 418</v>
      </c>
      <c r="I419">
        <v>2</v>
      </c>
      <c r="J419" t="s">
        <v>1646</v>
      </c>
      <c r="K419">
        <v>3</v>
      </c>
      <c r="L419" t="s">
        <v>1015</v>
      </c>
      <c r="M419">
        <v>2</v>
      </c>
      <c r="N419" t="s">
        <v>36</v>
      </c>
      <c r="O419">
        <v>2</v>
      </c>
      <c r="P419" t="s">
        <v>37</v>
      </c>
      <c r="Q419" t="s">
        <v>38</v>
      </c>
      <c r="R419">
        <v>2</v>
      </c>
      <c r="S419" t="s">
        <v>39</v>
      </c>
      <c r="T419" t="s">
        <v>1016</v>
      </c>
      <c r="U419" s="1">
        <v>-235477511</v>
      </c>
      <c r="V419" s="1">
        <v>-466547905</v>
      </c>
      <c r="W419" t="s">
        <v>1017</v>
      </c>
      <c r="X419">
        <v>1</v>
      </c>
      <c r="Y419" t="s">
        <v>34</v>
      </c>
    </row>
    <row r="420" spans="1:25" x14ac:dyDescent="0.3">
      <c r="A420">
        <v>419</v>
      </c>
      <c r="B420">
        <v>419</v>
      </c>
      <c r="C420">
        <v>61412110104520</v>
      </c>
      <c r="D420">
        <v>33</v>
      </c>
      <c r="E420" t="s">
        <v>1604</v>
      </c>
      <c r="F420">
        <v>33</v>
      </c>
      <c r="G420" t="s">
        <v>1641</v>
      </c>
      <c r="H420" t="str">
        <f t="shared" si="6"/>
        <v>REDE 33 - BANDEIRA 33 - LOJA 419</v>
      </c>
      <c r="I420">
        <v>2</v>
      </c>
      <c r="J420" t="s">
        <v>1646</v>
      </c>
      <c r="K420">
        <v>3</v>
      </c>
      <c r="L420" t="s">
        <v>1018</v>
      </c>
      <c r="M420">
        <v>2</v>
      </c>
      <c r="N420" t="s">
        <v>36</v>
      </c>
      <c r="O420">
        <v>2</v>
      </c>
      <c r="P420" t="s">
        <v>37</v>
      </c>
      <c r="Q420" t="s">
        <v>38</v>
      </c>
      <c r="R420">
        <v>2</v>
      </c>
      <c r="S420" t="s">
        <v>39</v>
      </c>
      <c r="T420" t="s">
        <v>1019</v>
      </c>
      <c r="U420" s="1">
        <v>-235251978</v>
      </c>
      <c r="V420" s="1">
        <v>-466976155</v>
      </c>
      <c r="W420" t="s">
        <v>1020</v>
      </c>
      <c r="X420">
        <v>1</v>
      </c>
      <c r="Y420" t="s">
        <v>34</v>
      </c>
    </row>
    <row r="421" spans="1:25" x14ac:dyDescent="0.3">
      <c r="A421">
        <v>420</v>
      </c>
      <c r="B421">
        <v>420</v>
      </c>
      <c r="C421">
        <v>61412110105500</v>
      </c>
      <c r="D421">
        <v>33</v>
      </c>
      <c r="E421" t="s">
        <v>1604</v>
      </c>
      <c r="F421">
        <v>33</v>
      </c>
      <c r="G421" t="s">
        <v>1641</v>
      </c>
      <c r="H421" t="str">
        <f t="shared" si="6"/>
        <v>REDE 33 - BANDEIRA 33 - LOJA 420</v>
      </c>
      <c r="I421">
        <v>2</v>
      </c>
      <c r="J421" t="s">
        <v>1646</v>
      </c>
      <c r="K421">
        <v>3</v>
      </c>
      <c r="L421" t="s">
        <v>1021</v>
      </c>
      <c r="M421">
        <v>2</v>
      </c>
      <c r="N421" t="s">
        <v>36</v>
      </c>
      <c r="O421">
        <v>2</v>
      </c>
      <c r="P421" t="s">
        <v>37</v>
      </c>
      <c r="Q421" t="s">
        <v>38</v>
      </c>
      <c r="R421">
        <v>2</v>
      </c>
      <c r="S421" t="s">
        <v>39</v>
      </c>
      <c r="T421" t="s">
        <v>1022</v>
      </c>
      <c r="U421" s="1">
        <v>-235258626</v>
      </c>
      <c r="V421" s="1">
        <v>-466910874999999</v>
      </c>
      <c r="W421" t="s">
        <v>1023</v>
      </c>
      <c r="X421">
        <v>1</v>
      </c>
      <c r="Y421" t="s">
        <v>34</v>
      </c>
    </row>
    <row r="422" spans="1:25" x14ac:dyDescent="0.3">
      <c r="A422">
        <v>421</v>
      </c>
      <c r="B422">
        <v>421</v>
      </c>
      <c r="C422">
        <v>61412110031034</v>
      </c>
      <c r="D422">
        <v>33</v>
      </c>
      <c r="E422" t="s">
        <v>1604</v>
      </c>
      <c r="F422">
        <v>33</v>
      </c>
      <c r="G422" t="s">
        <v>1641</v>
      </c>
      <c r="H422" t="str">
        <f t="shared" si="6"/>
        <v>REDE 33 - BANDEIRA 33 - LOJA 421</v>
      </c>
      <c r="I422">
        <v>2</v>
      </c>
      <c r="J422" t="s">
        <v>1646</v>
      </c>
      <c r="K422">
        <v>3</v>
      </c>
      <c r="L422" t="s">
        <v>1024</v>
      </c>
      <c r="M422">
        <v>2</v>
      </c>
      <c r="N422" t="s">
        <v>36</v>
      </c>
      <c r="O422">
        <v>2</v>
      </c>
      <c r="P422" t="s">
        <v>37</v>
      </c>
      <c r="Q422" t="s">
        <v>38</v>
      </c>
      <c r="R422">
        <v>2</v>
      </c>
      <c r="S422" t="s">
        <v>39</v>
      </c>
      <c r="T422" t="s">
        <v>1025</v>
      </c>
      <c r="U422" s="1">
        <v>-235355325</v>
      </c>
      <c r="V422" s="1">
        <v>-467141199</v>
      </c>
      <c r="W422" t="s">
        <v>1026</v>
      </c>
      <c r="X422">
        <v>1</v>
      </c>
      <c r="Y422" t="s">
        <v>34</v>
      </c>
    </row>
    <row r="423" spans="1:25" x14ac:dyDescent="0.3">
      <c r="A423">
        <v>422</v>
      </c>
      <c r="B423">
        <v>422</v>
      </c>
      <c r="C423">
        <v>61412110031700</v>
      </c>
      <c r="D423">
        <v>33</v>
      </c>
      <c r="E423" t="s">
        <v>1604</v>
      </c>
      <c r="F423">
        <v>33</v>
      </c>
      <c r="G423" t="s">
        <v>1641</v>
      </c>
      <c r="H423" t="str">
        <f t="shared" si="6"/>
        <v>REDE 33 - BANDEIRA 33 - LOJA 422</v>
      </c>
      <c r="I423">
        <v>2</v>
      </c>
      <c r="J423" t="s">
        <v>1646</v>
      </c>
      <c r="K423">
        <v>3</v>
      </c>
      <c r="L423" t="s">
        <v>1027</v>
      </c>
      <c r="M423">
        <v>2</v>
      </c>
      <c r="N423" t="s">
        <v>36</v>
      </c>
      <c r="O423">
        <v>2</v>
      </c>
      <c r="P423" t="s">
        <v>37</v>
      </c>
      <c r="Q423" t="s">
        <v>38</v>
      </c>
      <c r="R423">
        <v>2</v>
      </c>
      <c r="S423" t="s">
        <v>39</v>
      </c>
      <c r="T423" t="s">
        <v>1028</v>
      </c>
      <c r="U423" s="1">
        <v>-234945222</v>
      </c>
      <c r="V423" s="1">
        <v>-46612188</v>
      </c>
      <c r="W423" t="s">
        <v>1029</v>
      </c>
      <c r="X423">
        <v>1</v>
      </c>
      <c r="Y423" t="s">
        <v>34</v>
      </c>
    </row>
    <row r="424" spans="1:25" x14ac:dyDescent="0.3">
      <c r="A424">
        <v>423</v>
      </c>
      <c r="B424">
        <v>423</v>
      </c>
      <c r="C424">
        <v>61412110054166</v>
      </c>
      <c r="D424">
        <v>33</v>
      </c>
      <c r="E424" t="s">
        <v>1604</v>
      </c>
      <c r="F424">
        <v>33</v>
      </c>
      <c r="G424" t="s">
        <v>1641</v>
      </c>
      <c r="H424" t="str">
        <f t="shared" si="6"/>
        <v>REDE 33 - BANDEIRA 33 - LOJA 423</v>
      </c>
      <c r="I424">
        <v>2</v>
      </c>
      <c r="J424" t="s">
        <v>1646</v>
      </c>
      <c r="K424">
        <v>3</v>
      </c>
      <c r="L424" t="s">
        <v>1030</v>
      </c>
      <c r="M424">
        <v>2</v>
      </c>
      <c r="N424" t="s">
        <v>36</v>
      </c>
      <c r="O424">
        <v>2</v>
      </c>
      <c r="P424" t="s">
        <v>37</v>
      </c>
      <c r="Q424" t="s">
        <v>38</v>
      </c>
      <c r="R424">
        <v>2</v>
      </c>
      <c r="S424" t="s">
        <v>39</v>
      </c>
      <c r="T424" t="s">
        <v>1031</v>
      </c>
      <c r="U424" s="1">
        <v>-234985691</v>
      </c>
      <c r="V424" s="1">
        <v>-465950143</v>
      </c>
      <c r="W424" t="s">
        <v>1032</v>
      </c>
      <c r="X424">
        <v>1</v>
      </c>
      <c r="Y424" t="s">
        <v>34</v>
      </c>
    </row>
    <row r="425" spans="1:25" x14ac:dyDescent="0.3">
      <c r="A425">
        <v>424</v>
      </c>
      <c r="B425">
        <v>424</v>
      </c>
      <c r="C425">
        <v>61412110033088</v>
      </c>
      <c r="D425">
        <v>33</v>
      </c>
      <c r="E425" t="s">
        <v>1604</v>
      </c>
      <c r="F425">
        <v>33</v>
      </c>
      <c r="G425" t="s">
        <v>1641</v>
      </c>
      <c r="H425" t="str">
        <f t="shared" si="6"/>
        <v>REDE 33 - BANDEIRA 33 - LOJA 424</v>
      </c>
      <c r="I425">
        <v>2</v>
      </c>
      <c r="J425" t="s">
        <v>1646</v>
      </c>
      <c r="K425">
        <v>3</v>
      </c>
      <c r="L425" t="s">
        <v>1033</v>
      </c>
      <c r="M425">
        <v>2</v>
      </c>
      <c r="N425" t="s">
        <v>36</v>
      </c>
      <c r="O425">
        <v>2</v>
      </c>
      <c r="P425" t="s">
        <v>37</v>
      </c>
      <c r="Q425" t="s">
        <v>38</v>
      </c>
      <c r="R425">
        <v>2</v>
      </c>
      <c r="S425" t="s">
        <v>39</v>
      </c>
      <c r="T425" t="s">
        <v>1034</v>
      </c>
      <c r="U425" s="1">
        <v>-235225847</v>
      </c>
      <c r="V425" s="1">
        <v>-466690016</v>
      </c>
      <c r="W425" t="s">
        <v>1035</v>
      </c>
      <c r="X425">
        <v>1</v>
      </c>
      <c r="Y425" t="s">
        <v>34</v>
      </c>
    </row>
    <row r="426" spans="1:25" x14ac:dyDescent="0.3">
      <c r="A426">
        <v>425</v>
      </c>
      <c r="B426">
        <v>425</v>
      </c>
      <c r="C426">
        <v>61412110031204</v>
      </c>
      <c r="D426">
        <v>33</v>
      </c>
      <c r="E426" t="s">
        <v>1604</v>
      </c>
      <c r="F426">
        <v>33</v>
      </c>
      <c r="G426" t="s">
        <v>1641</v>
      </c>
      <c r="H426" t="str">
        <f t="shared" si="6"/>
        <v>REDE 33 - BANDEIRA 33 - LOJA 425</v>
      </c>
      <c r="I426">
        <v>2</v>
      </c>
      <c r="J426" t="s">
        <v>1646</v>
      </c>
      <c r="K426">
        <v>3</v>
      </c>
      <c r="L426" t="s">
        <v>1036</v>
      </c>
      <c r="M426">
        <v>2</v>
      </c>
      <c r="N426" t="s">
        <v>36</v>
      </c>
      <c r="O426">
        <v>2</v>
      </c>
      <c r="P426" t="s">
        <v>37</v>
      </c>
      <c r="Q426" t="s">
        <v>38</v>
      </c>
      <c r="R426">
        <v>2</v>
      </c>
      <c r="S426" t="s">
        <v>39</v>
      </c>
      <c r="T426" t="s">
        <v>1037</v>
      </c>
      <c r="U426" s="1">
        <v>-234746401</v>
      </c>
      <c r="V426" s="1">
        <v>-466187962</v>
      </c>
      <c r="W426" t="s">
        <v>1038</v>
      </c>
      <c r="X426">
        <v>1</v>
      </c>
      <c r="Y426" t="s">
        <v>34</v>
      </c>
    </row>
    <row r="427" spans="1:25" x14ac:dyDescent="0.3">
      <c r="A427">
        <v>426</v>
      </c>
      <c r="B427">
        <v>426</v>
      </c>
      <c r="C427">
        <v>61412110033835</v>
      </c>
      <c r="D427">
        <v>33</v>
      </c>
      <c r="E427" t="s">
        <v>1604</v>
      </c>
      <c r="F427">
        <v>33</v>
      </c>
      <c r="G427" t="s">
        <v>1641</v>
      </c>
      <c r="H427" t="str">
        <f t="shared" si="6"/>
        <v>REDE 33 - BANDEIRA 33 - LOJA 426</v>
      </c>
      <c r="I427">
        <v>2</v>
      </c>
      <c r="J427" t="s">
        <v>1646</v>
      </c>
      <c r="K427">
        <v>3</v>
      </c>
      <c r="L427" t="s">
        <v>1039</v>
      </c>
      <c r="M427">
        <v>2</v>
      </c>
      <c r="N427" t="s">
        <v>36</v>
      </c>
      <c r="O427">
        <v>2</v>
      </c>
      <c r="P427" t="s">
        <v>37</v>
      </c>
      <c r="Q427" t="s">
        <v>38</v>
      </c>
      <c r="R427">
        <v>2</v>
      </c>
      <c r="S427" t="s">
        <v>39</v>
      </c>
      <c r="T427" t="s">
        <v>1040</v>
      </c>
      <c r="U427" s="1">
        <v>-235093836</v>
      </c>
      <c r="V427" s="1">
        <v>-466662873</v>
      </c>
      <c r="W427" t="s">
        <v>58</v>
      </c>
      <c r="X427">
        <v>1</v>
      </c>
      <c r="Y427" t="s">
        <v>34</v>
      </c>
    </row>
    <row r="428" spans="1:25" x14ac:dyDescent="0.3">
      <c r="A428">
        <v>427</v>
      </c>
      <c r="B428">
        <v>427</v>
      </c>
      <c r="C428">
        <v>61412110008725</v>
      </c>
      <c r="D428">
        <v>33</v>
      </c>
      <c r="E428" t="s">
        <v>1604</v>
      </c>
      <c r="F428">
        <v>33</v>
      </c>
      <c r="G428" t="s">
        <v>1641</v>
      </c>
      <c r="H428" t="str">
        <f t="shared" si="6"/>
        <v>REDE 33 - BANDEIRA 33 - LOJA 427</v>
      </c>
      <c r="I428">
        <v>2</v>
      </c>
      <c r="J428" t="s">
        <v>1646</v>
      </c>
      <c r="K428">
        <v>3</v>
      </c>
      <c r="L428" t="s">
        <v>1041</v>
      </c>
      <c r="M428">
        <v>2</v>
      </c>
      <c r="N428" t="s">
        <v>36</v>
      </c>
      <c r="O428">
        <v>2</v>
      </c>
      <c r="P428" t="s">
        <v>37</v>
      </c>
      <c r="Q428" t="s">
        <v>38</v>
      </c>
      <c r="R428">
        <v>2</v>
      </c>
      <c r="S428" t="s">
        <v>39</v>
      </c>
      <c r="T428" t="s">
        <v>1042</v>
      </c>
      <c r="U428" s="1">
        <v>-235244672</v>
      </c>
      <c r="V428" s="1">
        <v>-467076478</v>
      </c>
      <c r="W428" t="s">
        <v>1020</v>
      </c>
      <c r="X428">
        <v>1</v>
      </c>
      <c r="Y428" t="s">
        <v>34</v>
      </c>
    </row>
    <row r="429" spans="1:25" x14ac:dyDescent="0.3">
      <c r="A429">
        <v>428</v>
      </c>
      <c r="B429">
        <v>428</v>
      </c>
      <c r="C429">
        <v>61412110105259</v>
      </c>
      <c r="D429">
        <v>33</v>
      </c>
      <c r="E429" t="s">
        <v>1604</v>
      </c>
      <c r="F429">
        <v>33</v>
      </c>
      <c r="G429" t="s">
        <v>1641</v>
      </c>
      <c r="H429" t="str">
        <f t="shared" si="6"/>
        <v>REDE 33 - BANDEIRA 33 - LOJA 428</v>
      </c>
      <c r="I429">
        <v>2</v>
      </c>
      <c r="J429" t="s">
        <v>1646</v>
      </c>
      <c r="K429">
        <v>3</v>
      </c>
      <c r="L429" t="s">
        <v>1043</v>
      </c>
      <c r="M429">
        <v>2</v>
      </c>
      <c r="N429" t="s">
        <v>36</v>
      </c>
      <c r="O429">
        <v>2</v>
      </c>
      <c r="P429" t="s">
        <v>37</v>
      </c>
      <c r="Q429" t="s">
        <v>38</v>
      </c>
      <c r="R429">
        <v>2</v>
      </c>
      <c r="S429" t="s">
        <v>39</v>
      </c>
      <c r="T429" t="s">
        <v>1044</v>
      </c>
      <c r="U429" s="1">
        <v>-235352422</v>
      </c>
      <c r="V429" s="1">
        <v>-466468002</v>
      </c>
      <c r="W429" t="s">
        <v>930</v>
      </c>
      <c r="X429">
        <v>1</v>
      </c>
      <c r="Y429" t="s">
        <v>34</v>
      </c>
    </row>
    <row r="430" spans="1:25" x14ac:dyDescent="0.3">
      <c r="A430">
        <v>429</v>
      </c>
      <c r="B430">
        <v>429</v>
      </c>
      <c r="C430">
        <v>61412110104600</v>
      </c>
      <c r="D430">
        <v>33</v>
      </c>
      <c r="E430" t="s">
        <v>1604</v>
      </c>
      <c r="F430">
        <v>33</v>
      </c>
      <c r="G430" t="s">
        <v>1641</v>
      </c>
      <c r="H430" t="str">
        <f t="shared" si="6"/>
        <v>REDE 33 - BANDEIRA 33 - LOJA 429</v>
      </c>
      <c r="I430">
        <v>2</v>
      </c>
      <c r="J430" t="s">
        <v>1646</v>
      </c>
      <c r="K430">
        <v>3</v>
      </c>
      <c r="L430" t="s">
        <v>1045</v>
      </c>
      <c r="M430">
        <v>2</v>
      </c>
      <c r="N430" t="s">
        <v>36</v>
      </c>
      <c r="O430">
        <v>2</v>
      </c>
      <c r="P430" t="s">
        <v>37</v>
      </c>
      <c r="Q430" t="s">
        <v>38</v>
      </c>
      <c r="R430">
        <v>2</v>
      </c>
      <c r="S430" t="s">
        <v>39</v>
      </c>
      <c r="T430" t="s">
        <v>1046</v>
      </c>
      <c r="U430" s="1">
        <v>-234875495</v>
      </c>
      <c r="V430" s="1">
        <v>-466464762</v>
      </c>
      <c r="W430" t="s">
        <v>1047</v>
      </c>
      <c r="X430">
        <v>1</v>
      </c>
      <c r="Y430" t="s">
        <v>34</v>
      </c>
    </row>
    <row r="431" spans="1:25" x14ac:dyDescent="0.3">
      <c r="A431">
        <v>430</v>
      </c>
      <c r="B431">
        <v>430</v>
      </c>
      <c r="C431">
        <v>61412110032430</v>
      </c>
      <c r="D431">
        <v>33</v>
      </c>
      <c r="E431" t="s">
        <v>1604</v>
      </c>
      <c r="F431">
        <v>33</v>
      </c>
      <c r="G431" t="s">
        <v>1641</v>
      </c>
      <c r="H431" t="str">
        <f t="shared" si="6"/>
        <v>REDE 33 - BANDEIRA 33 - LOJA 430</v>
      </c>
      <c r="I431">
        <v>2</v>
      </c>
      <c r="J431" t="s">
        <v>1646</v>
      </c>
      <c r="K431">
        <v>3</v>
      </c>
      <c r="L431" t="s">
        <v>1048</v>
      </c>
      <c r="M431">
        <v>2</v>
      </c>
      <c r="N431" t="s">
        <v>36</v>
      </c>
      <c r="O431">
        <v>2</v>
      </c>
      <c r="P431" t="s">
        <v>37</v>
      </c>
      <c r="Q431" t="s">
        <v>38</v>
      </c>
      <c r="R431">
        <v>2</v>
      </c>
      <c r="S431" t="s">
        <v>39</v>
      </c>
      <c r="T431" t="s">
        <v>1049</v>
      </c>
      <c r="U431" s="1">
        <v>-235155164</v>
      </c>
      <c r="V431" s="1">
        <v>-466183535</v>
      </c>
      <c r="W431" t="s">
        <v>496</v>
      </c>
      <c r="X431">
        <v>1</v>
      </c>
      <c r="Y431" t="s">
        <v>34</v>
      </c>
    </row>
    <row r="432" spans="1:25" x14ac:dyDescent="0.3">
      <c r="A432">
        <v>431</v>
      </c>
      <c r="B432">
        <v>431</v>
      </c>
      <c r="C432">
        <v>61412110086874</v>
      </c>
      <c r="D432">
        <v>33</v>
      </c>
      <c r="E432" t="s">
        <v>1604</v>
      </c>
      <c r="F432">
        <v>33</v>
      </c>
      <c r="G432" t="s">
        <v>1641</v>
      </c>
      <c r="H432" t="str">
        <f t="shared" si="6"/>
        <v>REDE 33 - BANDEIRA 33 - LOJA 431</v>
      </c>
      <c r="I432">
        <v>2</v>
      </c>
      <c r="J432" t="s">
        <v>1646</v>
      </c>
      <c r="K432">
        <v>3</v>
      </c>
      <c r="L432" t="s">
        <v>1050</v>
      </c>
      <c r="M432">
        <v>2</v>
      </c>
      <c r="N432" t="s">
        <v>36</v>
      </c>
      <c r="O432">
        <v>2</v>
      </c>
      <c r="P432" t="s">
        <v>37</v>
      </c>
      <c r="Q432" t="s">
        <v>38</v>
      </c>
      <c r="R432">
        <v>2</v>
      </c>
      <c r="S432" t="s">
        <v>39</v>
      </c>
      <c r="T432" t="s">
        <v>1051</v>
      </c>
      <c r="U432" s="1">
        <v>-234918646</v>
      </c>
      <c r="V432" s="1">
        <v>-466258529</v>
      </c>
      <c r="W432" t="s">
        <v>460</v>
      </c>
      <c r="X432">
        <v>1</v>
      </c>
      <c r="Y432" t="s">
        <v>34</v>
      </c>
    </row>
    <row r="433" spans="1:25" x14ac:dyDescent="0.3">
      <c r="A433">
        <v>432</v>
      </c>
      <c r="B433">
        <v>432</v>
      </c>
      <c r="C433">
        <v>61412110031891</v>
      </c>
      <c r="D433">
        <v>33</v>
      </c>
      <c r="E433" t="s">
        <v>1604</v>
      </c>
      <c r="F433">
        <v>33</v>
      </c>
      <c r="G433" t="s">
        <v>1641</v>
      </c>
      <c r="H433" t="str">
        <f t="shared" si="6"/>
        <v>REDE 33 - BANDEIRA 33 - LOJA 432</v>
      </c>
      <c r="I433">
        <v>2</v>
      </c>
      <c r="J433" t="s">
        <v>1646</v>
      </c>
      <c r="K433">
        <v>3</v>
      </c>
      <c r="L433" t="s">
        <v>1052</v>
      </c>
      <c r="M433">
        <v>2</v>
      </c>
      <c r="N433" t="s">
        <v>36</v>
      </c>
      <c r="O433">
        <v>2</v>
      </c>
      <c r="P433" t="s">
        <v>37</v>
      </c>
      <c r="Q433" t="s">
        <v>38</v>
      </c>
      <c r="R433">
        <v>2</v>
      </c>
      <c r="S433" t="s">
        <v>39</v>
      </c>
      <c r="T433" t="s">
        <v>1053</v>
      </c>
      <c r="U433" s="1">
        <v>-234828892</v>
      </c>
      <c r="V433" s="1">
        <v>-466450402</v>
      </c>
      <c r="W433" t="s">
        <v>460</v>
      </c>
      <c r="X433">
        <v>1</v>
      </c>
      <c r="Y433" t="s">
        <v>34</v>
      </c>
    </row>
    <row r="434" spans="1:25" x14ac:dyDescent="0.3">
      <c r="A434">
        <v>433</v>
      </c>
      <c r="B434">
        <v>433</v>
      </c>
      <c r="C434">
        <v>61412110081210</v>
      </c>
      <c r="D434">
        <v>33</v>
      </c>
      <c r="E434" t="s">
        <v>1604</v>
      </c>
      <c r="F434">
        <v>33</v>
      </c>
      <c r="G434" t="s">
        <v>1641</v>
      </c>
      <c r="H434" t="str">
        <f t="shared" si="6"/>
        <v>REDE 33 - BANDEIRA 33 - LOJA 433</v>
      </c>
      <c r="I434">
        <v>2</v>
      </c>
      <c r="J434" t="s">
        <v>1646</v>
      </c>
      <c r="K434">
        <v>3</v>
      </c>
      <c r="L434" t="s">
        <v>1054</v>
      </c>
      <c r="M434">
        <v>2</v>
      </c>
      <c r="N434" t="s">
        <v>36</v>
      </c>
      <c r="O434">
        <v>2</v>
      </c>
      <c r="P434" t="s">
        <v>37</v>
      </c>
      <c r="Q434" t="s">
        <v>38</v>
      </c>
      <c r="R434">
        <v>2</v>
      </c>
      <c r="S434" t="s">
        <v>39</v>
      </c>
      <c r="T434" t="s">
        <v>1055</v>
      </c>
      <c r="U434" s="1">
        <v>-235071724</v>
      </c>
      <c r="V434" s="1">
        <v>-466732105</v>
      </c>
      <c r="W434" t="s">
        <v>1056</v>
      </c>
      <c r="X434">
        <v>1</v>
      </c>
      <c r="Y434" t="s">
        <v>34</v>
      </c>
    </row>
    <row r="435" spans="1:25" x14ac:dyDescent="0.3">
      <c r="A435">
        <v>434</v>
      </c>
      <c r="B435">
        <v>434</v>
      </c>
      <c r="C435">
        <v>61412110097809</v>
      </c>
      <c r="D435">
        <v>33</v>
      </c>
      <c r="E435" t="s">
        <v>1604</v>
      </c>
      <c r="F435">
        <v>33</v>
      </c>
      <c r="G435" t="s">
        <v>1641</v>
      </c>
      <c r="H435" t="str">
        <f t="shared" si="6"/>
        <v>REDE 33 - BANDEIRA 33 - LOJA 434</v>
      </c>
      <c r="I435">
        <v>2</v>
      </c>
      <c r="J435" t="s">
        <v>1646</v>
      </c>
      <c r="K435">
        <v>3</v>
      </c>
      <c r="L435" t="s">
        <v>1057</v>
      </c>
      <c r="M435">
        <v>2</v>
      </c>
      <c r="N435" t="s">
        <v>36</v>
      </c>
      <c r="O435">
        <v>2</v>
      </c>
      <c r="P435" t="s">
        <v>37</v>
      </c>
      <c r="Q435" t="s">
        <v>38</v>
      </c>
      <c r="R435">
        <v>2</v>
      </c>
      <c r="S435" t="s">
        <v>39</v>
      </c>
      <c r="T435" t="s">
        <v>1058</v>
      </c>
      <c r="U435" s="1">
        <v>-235321982</v>
      </c>
      <c r="V435" s="1">
        <v>-467190193</v>
      </c>
      <c r="W435" t="s">
        <v>1020</v>
      </c>
      <c r="X435">
        <v>1</v>
      </c>
      <c r="Y435" t="s">
        <v>34</v>
      </c>
    </row>
    <row r="436" spans="1:25" x14ac:dyDescent="0.3">
      <c r="A436">
        <v>435</v>
      </c>
      <c r="B436">
        <v>435</v>
      </c>
      <c r="C436">
        <v>61412110104368</v>
      </c>
      <c r="D436">
        <v>33</v>
      </c>
      <c r="E436" t="s">
        <v>1604</v>
      </c>
      <c r="F436">
        <v>33</v>
      </c>
      <c r="G436" t="s">
        <v>1641</v>
      </c>
      <c r="H436" t="str">
        <f t="shared" si="6"/>
        <v>REDE 33 - BANDEIRA 33 - LOJA 435</v>
      </c>
      <c r="I436">
        <v>2</v>
      </c>
      <c r="J436" t="s">
        <v>1646</v>
      </c>
      <c r="K436">
        <v>3</v>
      </c>
      <c r="L436" t="s">
        <v>1059</v>
      </c>
      <c r="M436">
        <v>2</v>
      </c>
      <c r="N436" t="s">
        <v>36</v>
      </c>
      <c r="O436">
        <v>2</v>
      </c>
      <c r="P436" t="s">
        <v>37</v>
      </c>
      <c r="Q436" t="s">
        <v>38</v>
      </c>
      <c r="R436">
        <v>2</v>
      </c>
      <c r="S436" t="s">
        <v>39</v>
      </c>
      <c r="T436" t="s">
        <v>1060</v>
      </c>
      <c r="U436" s="1">
        <v>-235070582</v>
      </c>
      <c r="V436" s="1">
        <v>-46577625</v>
      </c>
      <c r="W436" t="s">
        <v>1061</v>
      </c>
      <c r="X436">
        <v>1</v>
      </c>
      <c r="Y436" t="s">
        <v>34</v>
      </c>
    </row>
    <row r="437" spans="1:25" x14ac:dyDescent="0.3">
      <c r="A437">
        <v>436</v>
      </c>
      <c r="B437">
        <v>436</v>
      </c>
      <c r="C437">
        <v>61412110065281</v>
      </c>
      <c r="D437">
        <v>33</v>
      </c>
      <c r="E437" t="s">
        <v>1604</v>
      </c>
      <c r="F437">
        <v>33</v>
      </c>
      <c r="G437" t="s">
        <v>1641</v>
      </c>
      <c r="H437" t="str">
        <f t="shared" si="6"/>
        <v>REDE 33 - BANDEIRA 33 - LOJA 436</v>
      </c>
      <c r="I437">
        <v>2</v>
      </c>
      <c r="J437" t="s">
        <v>1646</v>
      </c>
      <c r="K437">
        <v>3</v>
      </c>
      <c r="L437" t="s">
        <v>1062</v>
      </c>
      <c r="M437">
        <v>2</v>
      </c>
      <c r="N437" t="s">
        <v>36</v>
      </c>
      <c r="O437">
        <v>2</v>
      </c>
      <c r="P437" t="s">
        <v>37</v>
      </c>
      <c r="Q437" t="s">
        <v>38</v>
      </c>
      <c r="R437">
        <v>2</v>
      </c>
      <c r="S437" t="s">
        <v>39</v>
      </c>
      <c r="T437" t="s">
        <v>1063</v>
      </c>
      <c r="U437" s="1">
        <v>-234864374</v>
      </c>
      <c r="V437" s="1">
        <v>-467476513</v>
      </c>
      <c r="W437" t="s">
        <v>556</v>
      </c>
      <c r="X437">
        <v>1</v>
      </c>
      <c r="Y437" t="s">
        <v>34</v>
      </c>
    </row>
    <row r="438" spans="1:25" x14ac:dyDescent="0.3">
      <c r="A438">
        <v>437</v>
      </c>
      <c r="B438">
        <v>437</v>
      </c>
      <c r="C438">
        <v>61412110004223</v>
      </c>
      <c r="D438">
        <v>33</v>
      </c>
      <c r="E438" t="s">
        <v>1604</v>
      </c>
      <c r="F438">
        <v>33</v>
      </c>
      <c r="G438" t="s">
        <v>1641</v>
      </c>
      <c r="H438" t="str">
        <f t="shared" si="6"/>
        <v>REDE 33 - BANDEIRA 33 - LOJA 437</v>
      </c>
      <c r="I438">
        <v>2</v>
      </c>
      <c r="J438" t="s">
        <v>1646</v>
      </c>
      <c r="K438">
        <v>3</v>
      </c>
      <c r="L438" t="s">
        <v>1064</v>
      </c>
      <c r="M438">
        <v>2</v>
      </c>
      <c r="N438" t="s">
        <v>36</v>
      </c>
      <c r="O438">
        <v>2</v>
      </c>
      <c r="P438" t="s">
        <v>37</v>
      </c>
      <c r="Q438" t="s">
        <v>38</v>
      </c>
      <c r="R438">
        <v>2</v>
      </c>
      <c r="S438" t="s">
        <v>39</v>
      </c>
      <c r="T438" t="s">
        <v>1065</v>
      </c>
      <c r="U438" s="1">
        <v>-235032415</v>
      </c>
      <c r="V438" s="1">
        <v>-466266252</v>
      </c>
      <c r="W438" t="s">
        <v>460</v>
      </c>
      <c r="X438">
        <v>1</v>
      </c>
      <c r="Y438" t="s">
        <v>34</v>
      </c>
    </row>
    <row r="439" spans="1:25" x14ac:dyDescent="0.3">
      <c r="A439">
        <v>438</v>
      </c>
      <c r="B439">
        <v>438</v>
      </c>
      <c r="C439">
        <v>41308748000133</v>
      </c>
      <c r="D439">
        <v>19</v>
      </c>
      <c r="E439" t="s">
        <v>1590</v>
      </c>
      <c r="F439">
        <v>19</v>
      </c>
      <c r="G439" t="s">
        <v>1627</v>
      </c>
      <c r="H439" t="str">
        <f t="shared" si="6"/>
        <v>REDE 19 - BANDEIRA 19 - LOJA 438</v>
      </c>
      <c r="I439">
        <v>1</v>
      </c>
      <c r="J439" t="s">
        <v>26</v>
      </c>
      <c r="K439">
        <v>2</v>
      </c>
      <c r="L439" t="s">
        <v>1066</v>
      </c>
      <c r="M439">
        <v>3</v>
      </c>
      <c r="N439" t="s">
        <v>43</v>
      </c>
      <c r="O439">
        <v>3</v>
      </c>
      <c r="P439" t="s">
        <v>44</v>
      </c>
      <c r="Q439" t="s">
        <v>43</v>
      </c>
      <c r="R439">
        <v>2</v>
      </c>
      <c r="S439" t="s">
        <v>39</v>
      </c>
      <c r="T439" t="s">
        <v>1067</v>
      </c>
      <c r="U439" s="1">
        <v>-2.29601982582823E+16</v>
      </c>
      <c r="V439" s="1">
        <v>-4338914848693030</v>
      </c>
      <c r="W439" t="s">
        <v>723</v>
      </c>
      <c r="X439">
        <v>1</v>
      </c>
      <c r="Y439" t="s">
        <v>34</v>
      </c>
    </row>
    <row r="440" spans="1:25" x14ac:dyDescent="0.3">
      <c r="A440">
        <v>439</v>
      </c>
      <c r="B440">
        <v>439</v>
      </c>
      <c r="C440">
        <v>40192185000106</v>
      </c>
      <c r="D440">
        <v>19</v>
      </c>
      <c r="E440" t="s">
        <v>1590</v>
      </c>
      <c r="F440">
        <v>19</v>
      </c>
      <c r="G440" t="s">
        <v>1627</v>
      </c>
      <c r="H440" t="str">
        <f t="shared" si="6"/>
        <v>REDE 19 - BANDEIRA 19 - LOJA 439</v>
      </c>
      <c r="I440">
        <v>1</v>
      </c>
      <c r="J440" t="s">
        <v>26</v>
      </c>
      <c r="K440">
        <v>2</v>
      </c>
      <c r="L440" t="s">
        <v>1068</v>
      </c>
      <c r="M440">
        <v>3</v>
      </c>
      <c r="N440" t="s">
        <v>43</v>
      </c>
      <c r="O440">
        <v>3</v>
      </c>
      <c r="P440" t="s">
        <v>44</v>
      </c>
      <c r="Q440" t="s">
        <v>43</v>
      </c>
      <c r="R440">
        <v>2</v>
      </c>
      <c r="S440" t="s">
        <v>39</v>
      </c>
      <c r="T440" t="s">
        <v>1069</v>
      </c>
      <c r="U440" s="1">
        <v>-2288136802033470</v>
      </c>
      <c r="V440" s="1">
        <v>-4349734670122180</v>
      </c>
      <c r="W440" t="s">
        <v>1070</v>
      </c>
      <c r="X440">
        <v>1</v>
      </c>
      <c r="Y440" t="s">
        <v>34</v>
      </c>
    </row>
    <row r="441" spans="1:25" x14ac:dyDescent="0.3">
      <c r="A441">
        <v>440</v>
      </c>
      <c r="B441">
        <v>440</v>
      </c>
      <c r="C441">
        <v>49448778000157</v>
      </c>
      <c r="D441">
        <v>19</v>
      </c>
      <c r="E441" t="s">
        <v>1590</v>
      </c>
      <c r="F441">
        <v>19</v>
      </c>
      <c r="G441" t="s">
        <v>1627</v>
      </c>
      <c r="H441" t="str">
        <f t="shared" si="6"/>
        <v>REDE 19 - BANDEIRA 19 - LOJA 440</v>
      </c>
      <c r="I441">
        <v>1</v>
      </c>
      <c r="J441" t="s">
        <v>26</v>
      </c>
      <c r="K441">
        <v>1</v>
      </c>
      <c r="L441" t="s">
        <v>1071</v>
      </c>
      <c r="M441">
        <v>2</v>
      </c>
      <c r="N441" t="s">
        <v>36</v>
      </c>
      <c r="O441">
        <v>2</v>
      </c>
      <c r="P441" t="s">
        <v>37</v>
      </c>
      <c r="Q441" t="s">
        <v>38</v>
      </c>
      <c r="R441">
        <v>2</v>
      </c>
      <c r="S441" t="s">
        <v>39</v>
      </c>
      <c r="T441" t="s">
        <v>1072</v>
      </c>
      <c r="U441" s="1">
        <v>-2.354603171974E+16</v>
      </c>
      <c r="V441" s="1">
        <v>-4654897849538040</v>
      </c>
      <c r="W441" t="s">
        <v>964</v>
      </c>
      <c r="X441">
        <v>1</v>
      </c>
      <c r="Y441" t="s">
        <v>34</v>
      </c>
    </row>
    <row r="442" spans="1:25" x14ac:dyDescent="0.3">
      <c r="A442">
        <v>441</v>
      </c>
      <c r="B442">
        <v>441</v>
      </c>
      <c r="C442">
        <v>9385272000121</v>
      </c>
      <c r="D442">
        <v>36</v>
      </c>
      <c r="E442" t="s">
        <v>1605</v>
      </c>
      <c r="F442">
        <v>36</v>
      </c>
      <c r="G442" t="s">
        <v>1642</v>
      </c>
      <c r="H442" t="str">
        <f t="shared" si="6"/>
        <v>REDE 36 - BANDEIRA 36 - LOJA 441</v>
      </c>
      <c r="I442">
        <v>3</v>
      </c>
      <c r="J442" t="s">
        <v>1073</v>
      </c>
      <c r="K442">
        <v>4</v>
      </c>
      <c r="L442" t="s">
        <v>1074</v>
      </c>
      <c r="M442">
        <v>2</v>
      </c>
      <c r="N442" t="s">
        <v>36</v>
      </c>
      <c r="O442">
        <v>2</v>
      </c>
      <c r="P442" t="s">
        <v>37</v>
      </c>
      <c r="Q442" t="s">
        <v>38</v>
      </c>
      <c r="R442">
        <v>2</v>
      </c>
      <c r="S442" t="s">
        <v>39</v>
      </c>
      <c r="T442" t="s">
        <v>1075</v>
      </c>
      <c r="U442" s="1">
        <v>-2.35833978222231E+16</v>
      </c>
      <c r="V442" s="1">
        <v>-4.66710166720176E+16</v>
      </c>
      <c r="W442" t="s">
        <v>516</v>
      </c>
      <c r="X442">
        <v>1</v>
      </c>
      <c r="Y442" t="s">
        <v>34</v>
      </c>
    </row>
    <row r="443" spans="1:25" x14ac:dyDescent="0.3">
      <c r="A443">
        <v>442</v>
      </c>
      <c r="B443">
        <v>442</v>
      </c>
      <c r="C443">
        <v>0</v>
      </c>
      <c r="D443">
        <v>36</v>
      </c>
      <c r="E443" t="s">
        <v>1605</v>
      </c>
      <c r="F443">
        <v>36</v>
      </c>
      <c r="G443" t="s">
        <v>1642</v>
      </c>
      <c r="H443" t="str">
        <f t="shared" si="6"/>
        <v>REDE 36 - BANDEIRA 36 - LOJA 442</v>
      </c>
      <c r="I443">
        <v>3</v>
      </c>
      <c r="J443" t="s">
        <v>1073</v>
      </c>
      <c r="K443">
        <v>4</v>
      </c>
      <c r="L443" t="s">
        <v>1076</v>
      </c>
      <c r="M443">
        <v>6</v>
      </c>
      <c r="N443" t="s">
        <v>236</v>
      </c>
      <c r="O443">
        <v>5</v>
      </c>
      <c r="P443" t="s">
        <v>237</v>
      </c>
      <c r="Q443" t="s">
        <v>238</v>
      </c>
      <c r="R443">
        <v>4</v>
      </c>
      <c r="S443" t="s">
        <v>239</v>
      </c>
      <c r="T443" t="s">
        <v>313</v>
      </c>
      <c r="U443" s="1">
        <v>-3764440544805670</v>
      </c>
      <c r="V443" s="1">
        <v>-3.8480841506098704E+16</v>
      </c>
      <c r="W443" t="s">
        <v>314</v>
      </c>
      <c r="X443">
        <v>1</v>
      </c>
      <c r="Y443" t="s">
        <v>34</v>
      </c>
    </row>
    <row r="444" spans="1:25" x14ac:dyDescent="0.3">
      <c r="A444">
        <v>443</v>
      </c>
      <c r="B444">
        <v>443</v>
      </c>
      <c r="C444">
        <v>0</v>
      </c>
      <c r="D444">
        <v>19</v>
      </c>
      <c r="E444" t="s">
        <v>1590</v>
      </c>
      <c r="F444">
        <v>19</v>
      </c>
      <c r="G444" t="s">
        <v>1627</v>
      </c>
      <c r="H444" t="str">
        <f t="shared" si="6"/>
        <v>REDE 19 - BANDEIRA 19 - LOJA 443</v>
      </c>
      <c r="I444">
        <v>1</v>
      </c>
      <c r="J444" t="s">
        <v>26</v>
      </c>
      <c r="K444">
        <v>1</v>
      </c>
      <c r="L444" t="s">
        <v>1077</v>
      </c>
      <c r="M444">
        <v>10</v>
      </c>
      <c r="N444" t="s">
        <v>1078</v>
      </c>
      <c r="O444">
        <v>2</v>
      </c>
      <c r="P444" t="s">
        <v>37</v>
      </c>
      <c r="Q444" t="s">
        <v>38</v>
      </c>
      <c r="R444">
        <v>2</v>
      </c>
      <c r="S444" t="s">
        <v>39</v>
      </c>
      <c r="T444" t="s">
        <v>1079</v>
      </c>
      <c r="U444" s="1">
        <v>-2.34689033059157E+16</v>
      </c>
      <c r="V444" s="1">
        <v>-4652655096844080</v>
      </c>
      <c r="W444" t="s">
        <v>221</v>
      </c>
      <c r="X444">
        <v>1</v>
      </c>
      <c r="Y444" t="s">
        <v>34</v>
      </c>
    </row>
    <row r="445" spans="1:25" x14ac:dyDescent="0.3">
      <c r="A445">
        <v>444</v>
      </c>
      <c r="B445">
        <v>444</v>
      </c>
      <c r="C445">
        <v>33438250060143</v>
      </c>
      <c r="D445">
        <v>37</v>
      </c>
      <c r="E445" t="s">
        <v>1606</v>
      </c>
      <c r="F445">
        <v>33</v>
      </c>
      <c r="G445" t="s">
        <v>1643</v>
      </c>
      <c r="H445" t="str">
        <f t="shared" si="6"/>
        <v>REDE 37 - BANDEIRA 37 - LOJA 444</v>
      </c>
      <c r="I445">
        <v>2</v>
      </c>
      <c r="J445" t="s">
        <v>1646</v>
      </c>
      <c r="K445">
        <v>3</v>
      </c>
      <c r="L445" t="s">
        <v>1080</v>
      </c>
      <c r="M445">
        <v>3</v>
      </c>
      <c r="N445" t="s">
        <v>43</v>
      </c>
      <c r="O445">
        <v>3</v>
      </c>
      <c r="P445" t="s">
        <v>44</v>
      </c>
      <c r="Q445" t="s">
        <v>43</v>
      </c>
      <c r="R445">
        <v>2</v>
      </c>
      <c r="S445" t="s">
        <v>39</v>
      </c>
      <c r="T445" t="s">
        <v>1081</v>
      </c>
      <c r="U445" s="1">
        <v>-2.3000557051526E+16</v>
      </c>
      <c r="V445" s="1">
        <v>-4.3354101025410304E+16</v>
      </c>
      <c r="W445" t="s">
        <v>115</v>
      </c>
      <c r="X445">
        <v>1</v>
      </c>
      <c r="Y445" t="s">
        <v>34</v>
      </c>
    </row>
    <row r="446" spans="1:25" x14ac:dyDescent="0.3">
      <c r="A446">
        <v>445</v>
      </c>
      <c r="B446">
        <v>445</v>
      </c>
      <c r="C446">
        <v>61412110096403</v>
      </c>
      <c r="D446">
        <v>37</v>
      </c>
      <c r="E446" t="s">
        <v>1606</v>
      </c>
      <c r="F446">
        <v>33</v>
      </c>
      <c r="G446" t="s">
        <v>1643</v>
      </c>
      <c r="H446" t="str">
        <f t="shared" si="6"/>
        <v>REDE 37 - BANDEIRA 37 - LOJA 445</v>
      </c>
      <c r="I446">
        <v>2</v>
      </c>
      <c r="J446" t="s">
        <v>1646</v>
      </c>
      <c r="K446">
        <v>3</v>
      </c>
      <c r="L446" t="s">
        <v>1082</v>
      </c>
      <c r="M446">
        <v>4</v>
      </c>
      <c r="N446" t="s">
        <v>60</v>
      </c>
      <c r="O446">
        <v>4</v>
      </c>
      <c r="P446" t="s">
        <v>61</v>
      </c>
      <c r="Q446" t="s">
        <v>62</v>
      </c>
      <c r="R446">
        <v>3</v>
      </c>
      <c r="S446" t="s">
        <v>63</v>
      </c>
      <c r="T446" t="s">
        <v>1083</v>
      </c>
      <c r="U446" s="1">
        <v>-1.58043912313823E+16</v>
      </c>
      <c r="V446" s="1">
        <v>-4788546043830860</v>
      </c>
      <c r="W446" t="s">
        <v>83</v>
      </c>
      <c r="X446">
        <v>1</v>
      </c>
      <c r="Y446" t="s">
        <v>34</v>
      </c>
    </row>
    <row r="447" spans="1:25" x14ac:dyDescent="0.3">
      <c r="A447">
        <v>446</v>
      </c>
      <c r="B447">
        <v>446</v>
      </c>
      <c r="C447">
        <v>33438250061204</v>
      </c>
      <c r="D447">
        <v>37</v>
      </c>
      <c r="E447" t="s">
        <v>1606</v>
      </c>
      <c r="F447">
        <v>33</v>
      </c>
      <c r="G447" t="s">
        <v>1643</v>
      </c>
      <c r="H447" t="str">
        <f t="shared" si="6"/>
        <v>REDE 37 - BANDEIRA 37 - LOJA 446</v>
      </c>
      <c r="I447">
        <v>2</v>
      </c>
      <c r="J447" t="s">
        <v>1646</v>
      </c>
      <c r="K447">
        <v>3</v>
      </c>
      <c r="L447" t="s">
        <v>1084</v>
      </c>
      <c r="M447">
        <v>3</v>
      </c>
      <c r="N447" t="s">
        <v>43</v>
      </c>
      <c r="O447">
        <v>3</v>
      </c>
      <c r="P447" t="s">
        <v>44</v>
      </c>
      <c r="Q447" t="s">
        <v>43</v>
      </c>
      <c r="R447">
        <v>2</v>
      </c>
      <c r="S447" t="s">
        <v>39</v>
      </c>
      <c r="T447" t="s">
        <v>738</v>
      </c>
      <c r="U447" s="1">
        <v>-2.29722842181369E+16</v>
      </c>
      <c r="V447" s="1">
        <v>-4.3188022287641504E+16</v>
      </c>
      <c r="W447" t="s">
        <v>135</v>
      </c>
      <c r="X447">
        <v>1</v>
      </c>
      <c r="Y447" t="s">
        <v>34</v>
      </c>
    </row>
    <row r="448" spans="1:25" x14ac:dyDescent="0.3">
      <c r="A448">
        <v>447</v>
      </c>
      <c r="B448">
        <v>447</v>
      </c>
      <c r="C448">
        <v>33438250015199</v>
      </c>
      <c r="D448">
        <v>37</v>
      </c>
      <c r="E448" t="s">
        <v>1606</v>
      </c>
      <c r="F448">
        <v>33</v>
      </c>
      <c r="G448" t="s">
        <v>1643</v>
      </c>
      <c r="H448" t="str">
        <f t="shared" si="6"/>
        <v>REDE 37 - BANDEIRA 37 - LOJA 447</v>
      </c>
      <c r="I448">
        <v>2</v>
      </c>
      <c r="J448" t="s">
        <v>1646</v>
      </c>
      <c r="K448">
        <v>3</v>
      </c>
      <c r="L448" t="s">
        <v>1085</v>
      </c>
      <c r="M448">
        <v>3</v>
      </c>
      <c r="N448" t="s">
        <v>43</v>
      </c>
      <c r="O448">
        <v>3</v>
      </c>
      <c r="P448" t="s">
        <v>44</v>
      </c>
      <c r="Q448" t="s">
        <v>43</v>
      </c>
      <c r="R448">
        <v>2</v>
      </c>
      <c r="S448" t="s">
        <v>39</v>
      </c>
      <c r="T448" t="s">
        <v>1086</v>
      </c>
      <c r="U448" s="1">
        <v>-2.30034184847667E+16</v>
      </c>
      <c r="V448" s="1">
        <v>-4.3325998159100304E+16</v>
      </c>
      <c r="W448" t="s">
        <v>115</v>
      </c>
      <c r="X448">
        <v>1</v>
      </c>
      <c r="Y448" t="s">
        <v>34</v>
      </c>
    </row>
    <row r="449" spans="1:25" x14ac:dyDescent="0.3">
      <c r="A449">
        <v>448</v>
      </c>
      <c r="B449">
        <v>448</v>
      </c>
      <c r="C449">
        <v>33438250025151</v>
      </c>
      <c r="D449">
        <v>37</v>
      </c>
      <c r="E449" t="s">
        <v>1606</v>
      </c>
      <c r="F449">
        <v>33</v>
      </c>
      <c r="G449" t="s">
        <v>1643</v>
      </c>
      <c r="H449" t="str">
        <f t="shared" si="6"/>
        <v>REDE 37 - BANDEIRA 37 - LOJA 448</v>
      </c>
      <c r="I449">
        <v>2</v>
      </c>
      <c r="J449" t="s">
        <v>1646</v>
      </c>
      <c r="K449">
        <v>3</v>
      </c>
      <c r="L449" t="s">
        <v>1087</v>
      </c>
      <c r="M449">
        <v>3</v>
      </c>
      <c r="N449" t="s">
        <v>43</v>
      </c>
      <c r="O449">
        <v>3</v>
      </c>
      <c r="P449" t="s">
        <v>44</v>
      </c>
      <c r="Q449" t="s">
        <v>43</v>
      </c>
      <c r="R449">
        <v>2</v>
      </c>
      <c r="S449" t="s">
        <v>39</v>
      </c>
      <c r="T449" t="s">
        <v>1088</v>
      </c>
      <c r="U449" s="1">
        <v>-2296838878399770</v>
      </c>
      <c r="V449" s="1">
        <v>-4318507777340340</v>
      </c>
      <c r="W449" t="s">
        <v>135</v>
      </c>
      <c r="X449">
        <v>1</v>
      </c>
      <c r="Y449" t="s">
        <v>34</v>
      </c>
    </row>
    <row r="450" spans="1:25" x14ac:dyDescent="0.3">
      <c r="A450">
        <v>449</v>
      </c>
      <c r="B450">
        <v>449</v>
      </c>
      <c r="C450">
        <v>33438250057193</v>
      </c>
      <c r="D450">
        <v>37</v>
      </c>
      <c r="E450" t="s">
        <v>1606</v>
      </c>
      <c r="F450">
        <v>33</v>
      </c>
      <c r="G450" t="s">
        <v>1643</v>
      </c>
      <c r="H450" t="str">
        <f t="shared" si="6"/>
        <v>REDE 37 - BANDEIRA 37 - LOJA 449</v>
      </c>
      <c r="I450">
        <v>2</v>
      </c>
      <c r="J450" t="s">
        <v>1646</v>
      </c>
      <c r="K450">
        <v>3</v>
      </c>
      <c r="L450" t="s">
        <v>1089</v>
      </c>
      <c r="M450">
        <v>3</v>
      </c>
      <c r="N450" t="s">
        <v>43</v>
      </c>
      <c r="O450">
        <v>3</v>
      </c>
      <c r="P450" t="s">
        <v>44</v>
      </c>
      <c r="Q450" t="s">
        <v>43</v>
      </c>
      <c r="R450">
        <v>2</v>
      </c>
      <c r="S450" t="s">
        <v>39</v>
      </c>
      <c r="T450" t="s">
        <v>1090</v>
      </c>
      <c r="U450" s="1">
        <v>-2299989865709500</v>
      </c>
      <c r="V450" s="1">
        <v>-4.3304431517169E+16</v>
      </c>
      <c r="W450" t="s">
        <v>115</v>
      </c>
      <c r="X450">
        <v>1</v>
      </c>
      <c r="Y450" t="s">
        <v>34</v>
      </c>
    </row>
    <row r="451" spans="1:25" x14ac:dyDescent="0.3">
      <c r="A451">
        <v>450</v>
      </c>
      <c r="B451">
        <v>450</v>
      </c>
      <c r="C451">
        <v>61412110099003</v>
      </c>
      <c r="D451">
        <v>37</v>
      </c>
      <c r="E451" t="s">
        <v>1606</v>
      </c>
      <c r="F451">
        <v>33</v>
      </c>
      <c r="G451" t="s">
        <v>1643</v>
      </c>
      <c r="H451" t="str">
        <f t="shared" ref="H451:H514" si="7">G451 &amp; " - "&amp; E451 &amp;" - LOJA " &amp;B451</f>
        <v>REDE 37 - BANDEIRA 37 - LOJA 450</v>
      </c>
      <c r="I451">
        <v>2</v>
      </c>
      <c r="J451" t="s">
        <v>1646</v>
      </c>
      <c r="K451">
        <v>3</v>
      </c>
      <c r="L451" t="s">
        <v>1091</v>
      </c>
      <c r="M451">
        <v>4</v>
      </c>
      <c r="N451" t="s">
        <v>60</v>
      </c>
      <c r="O451">
        <v>4</v>
      </c>
      <c r="P451" t="s">
        <v>61</v>
      </c>
      <c r="Q451" t="s">
        <v>62</v>
      </c>
      <c r="R451">
        <v>3</v>
      </c>
      <c r="S451" t="s">
        <v>63</v>
      </c>
      <c r="T451" t="s">
        <v>1092</v>
      </c>
      <c r="U451" s="1">
        <v>-1.58432033279252E+16</v>
      </c>
      <c r="V451" s="1">
        <v>-4787674309124060</v>
      </c>
      <c r="W451" t="s">
        <v>1093</v>
      </c>
      <c r="X451">
        <v>1</v>
      </c>
      <c r="Y451" t="s">
        <v>34</v>
      </c>
    </row>
    <row r="452" spans="1:25" x14ac:dyDescent="0.3">
      <c r="A452">
        <v>451</v>
      </c>
      <c r="B452">
        <v>451</v>
      </c>
      <c r="C452">
        <v>33438250003000</v>
      </c>
      <c r="D452">
        <v>37</v>
      </c>
      <c r="E452" t="s">
        <v>1606</v>
      </c>
      <c r="F452">
        <v>33</v>
      </c>
      <c r="G452" t="s">
        <v>1643</v>
      </c>
      <c r="H452" t="str">
        <f t="shared" si="7"/>
        <v>REDE 37 - BANDEIRA 37 - LOJA 451</v>
      </c>
      <c r="I452">
        <v>2</v>
      </c>
      <c r="J452" t="s">
        <v>1646</v>
      </c>
      <c r="K452">
        <v>3</v>
      </c>
      <c r="L452" t="s">
        <v>1094</v>
      </c>
      <c r="M452">
        <v>3</v>
      </c>
      <c r="N452" t="s">
        <v>43</v>
      </c>
      <c r="O452">
        <v>3</v>
      </c>
      <c r="P452" t="s">
        <v>44</v>
      </c>
      <c r="Q452" t="s">
        <v>43</v>
      </c>
      <c r="R452">
        <v>2</v>
      </c>
      <c r="S452" t="s">
        <v>39</v>
      </c>
      <c r="T452" t="s">
        <v>1095</v>
      </c>
      <c r="U452" s="1">
        <v>-2290884824303540</v>
      </c>
      <c r="V452" s="1">
        <v>-4317811452472440</v>
      </c>
      <c r="W452" t="s">
        <v>221</v>
      </c>
      <c r="X452">
        <v>1</v>
      </c>
      <c r="Y452" t="s">
        <v>34</v>
      </c>
    </row>
    <row r="453" spans="1:25" x14ac:dyDescent="0.3">
      <c r="A453">
        <v>452</v>
      </c>
      <c r="B453">
        <v>452</v>
      </c>
      <c r="C453">
        <v>33438250024260</v>
      </c>
      <c r="D453">
        <v>37</v>
      </c>
      <c r="E453" t="s">
        <v>1606</v>
      </c>
      <c r="F453">
        <v>33</v>
      </c>
      <c r="G453" t="s">
        <v>1643</v>
      </c>
      <c r="H453" t="str">
        <f t="shared" si="7"/>
        <v>REDE 37 - BANDEIRA 37 - LOJA 452</v>
      </c>
      <c r="I453">
        <v>2</v>
      </c>
      <c r="J453" t="s">
        <v>1646</v>
      </c>
      <c r="K453">
        <v>3</v>
      </c>
      <c r="L453" t="s">
        <v>1096</v>
      </c>
      <c r="M453">
        <v>3</v>
      </c>
      <c r="N453" t="s">
        <v>43</v>
      </c>
      <c r="O453">
        <v>3</v>
      </c>
      <c r="P453" t="s">
        <v>44</v>
      </c>
      <c r="Q453" t="s">
        <v>43</v>
      </c>
      <c r="R453">
        <v>2</v>
      </c>
      <c r="S453" t="s">
        <v>39</v>
      </c>
      <c r="T453" t="s">
        <v>1097</v>
      </c>
      <c r="U453" s="1">
        <v>-2.29034217781063E+16</v>
      </c>
      <c r="V453" s="1">
        <v>-4311227748343950</v>
      </c>
      <c r="W453" t="s">
        <v>1098</v>
      </c>
      <c r="X453">
        <v>1</v>
      </c>
      <c r="Y453" t="s">
        <v>34</v>
      </c>
    </row>
    <row r="454" spans="1:25" x14ac:dyDescent="0.3">
      <c r="A454">
        <v>453</v>
      </c>
      <c r="B454">
        <v>453</v>
      </c>
      <c r="C454">
        <v>33438250061468</v>
      </c>
      <c r="D454">
        <v>37</v>
      </c>
      <c r="E454" t="s">
        <v>1606</v>
      </c>
      <c r="F454">
        <v>33</v>
      </c>
      <c r="G454" t="s">
        <v>1643</v>
      </c>
      <c r="H454" t="str">
        <f t="shared" si="7"/>
        <v>REDE 37 - BANDEIRA 37 - LOJA 453</v>
      </c>
      <c r="I454">
        <v>2</v>
      </c>
      <c r="J454" t="s">
        <v>1646</v>
      </c>
      <c r="K454">
        <v>3</v>
      </c>
      <c r="L454" t="s">
        <v>1099</v>
      </c>
      <c r="M454">
        <v>3</v>
      </c>
      <c r="N454" t="s">
        <v>43</v>
      </c>
      <c r="O454">
        <v>3</v>
      </c>
      <c r="P454" t="s">
        <v>44</v>
      </c>
      <c r="Q454" t="s">
        <v>43</v>
      </c>
      <c r="R454">
        <v>2</v>
      </c>
      <c r="S454" t="s">
        <v>39</v>
      </c>
      <c r="T454" t="s">
        <v>776</v>
      </c>
      <c r="U454" s="1">
        <v>-2.29415171094366E+16</v>
      </c>
      <c r="V454" s="1">
        <v>-4334074499615050</v>
      </c>
      <c r="W454" t="s">
        <v>723</v>
      </c>
      <c r="X454">
        <v>1</v>
      </c>
      <c r="Y454" t="s">
        <v>34</v>
      </c>
    </row>
    <row r="455" spans="1:25" x14ac:dyDescent="0.3">
      <c r="A455">
        <v>454</v>
      </c>
      <c r="B455">
        <v>454</v>
      </c>
      <c r="C455">
        <v>61412110054328</v>
      </c>
      <c r="D455">
        <v>37</v>
      </c>
      <c r="E455" t="s">
        <v>1606</v>
      </c>
      <c r="F455">
        <v>33</v>
      </c>
      <c r="G455" t="s">
        <v>1643</v>
      </c>
      <c r="H455" t="str">
        <f t="shared" si="7"/>
        <v>REDE 37 - BANDEIRA 37 - LOJA 454</v>
      </c>
      <c r="I455">
        <v>2</v>
      </c>
      <c r="J455" t="s">
        <v>1646</v>
      </c>
      <c r="K455">
        <v>3</v>
      </c>
      <c r="L455" t="s">
        <v>1100</v>
      </c>
      <c r="M455">
        <v>4</v>
      </c>
      <c r="N455" t="s">
        <v>60</v>
      </c>
      <c r="O455">
        <v>4</v>
      </c>
      <c r="P455" t="s">
        <v>61</v>
      </c>
      <c r="Q455" t="s">
        <v>62</v>
      </c>
      <c r="R455">
        <v>3</v>
      </c>
      <c r="S455" t="s">
        <v>63</v>
      </c>
      <c r="T455" t="s">
        <v>1101</v>
      </c>
      <c r="U455" s="1">
        <v>-1580106036307730</v>
      </c>
      <c r="V455" s="1">
        <v>-4789097175420880</v>
      </c>
      <c r="W455" t="s">
        <v>1102</v>
      </c>
      <c r="X455">
        <v>1</v>
      </c>
      <c r="Y455" t="s">
        <v>34</v>
      </c>
    </row>
    <row r="456" spans="1:25" x14ac:dyDescent="0.3">
      <c r="A456">
        <v>455</v>
      </c>
      <c r="B456">
        <v>455</v>
      </c>
      <c r="C456">
        <v>61412110101342</v>
      </c>
      <c r="D456">
        <v>37</v>
      </c>
      <c r="E456" t="s">
        <v>1606</v>
      </c>
      <c r="F456">
        <v>33</v>
      </c>
      <c r="G456" t="s">
        <v>1643</v>
      </c>
      <c r="H456" t="str">
        <f t="shared" si="7"/>
        <v>REDE 37 - BANDEIRA 37 - LOJA 455</v>
      </c>
      <c r="I456">
        <v>2</v>
      </c>
      <c r="J456" t="s">
        <v>1646</v>
      </c>
      <c r="K456">
        <v>3</v>
      </c>
      <c r="L456" t="s">
        <v>1103</v>
      </c>
      <c r="M456">
        <v>4</v>
      </c>
      <c r="N456" t="s">
        <v>60</v>
      </c>
      <c r="O456">
        <v>4</v>
      </c>
      <c r="P456" t="s">
        <v>61</v>
      </c>
      <c r="Q456" t="s">
        <v>62</v>
      </c>
      <c r="R456">
        <v>3</v>
      </c>
      <c r="S456" t="s">
        <v>63</v>
      </c>
      <c r="T456" t="s">
        <v>1104</v>
      </c>
      <c r="U456" s="1">
        <v>-1.57558839220011E+16</v>
      </c>
      <c r="V456" s="1">
        <v>-4789427426921280</v>
      </c>
      <c r="W456" t="s">
        <v>65</v>
      </c>
      <c r="X456">
        <v>1</v>
      </c>
      <c r="Y456" t="s">
        <v>34</v>
      </c>
    </row>
    <row r="457" spans="1:25" x14ac:dyDescent="0.3">
      <c r="A457">
        <v>456</v>
      </c>
      <c r="B457">
        <v>456</v>
      </c>
      <c r="C457">
        <v>61412110102586</v>
      </c>
      <c r="D457">
        <v>33</v>
      </c>
      <c r="E457" t="s">
        <v>1604</v>
      </c>
      <c r="F457">
        <v>33</v>
      </c>
      <c r="G457" t="s">
        <v>1641</v>
      </c>
      <c r="H457" t="str">
        <f t="shared" si="7"/>
        <v>REDE 33 - BANDEIRA 33 - LOJA 456</v>
      </c>
      <c r="I457">
        <v>2</v>
      </c>
      <c r="J457" t="s">
        <v>1646</v>
      </c>
      <c r="K457">
        <v>3</v>
      </c>
      <c r="L457" t="s">
        <v>998</v>
      </c>
      <c r="M457">
        <v>2</v>
      </c>
      <c r="N457" t="s">
        <v>36</v>
      </c>
      <c r="O457">
        <v>2</v>
      </c>
      <c r="P457" t="s">
        <v>37</v>
      </c>
      <c r="Q457" t="s">
        <v>38</v>
      </c>
      <c r="R457">
        <v>2</v>
      </c>
      <c r="S457" t="s">
        <v>39</v>
      </c>
      <c r="T457" t="s">
        <v>999</v>
      </c>
      <c r="U457" s="1">
        <v>-2352668173845940</v>
      </c>
      <c r="V457" s="1">
        <v>-4672861067488020</v>
      </c>
      <c r="W457" t="s">
        <v>510</v>
      </c>
      <c r="X457">
        <v>1</v>
      </c>
      <c r="Y457" t="s">
        <v>34</v>
      </c>
    </row>
    <row r="458" spans="1:25" x14ac:dyDescent="0.3">
      <c r="A458">
        <v>457</v>
      </c>
      <c r="B458">
        <v>457</v>
      </c>
      <c r="C458">
        <v>33438250057789</v>
      </c>
      <c r="D458">
        <v>37</v>
      </c>
      <c r="E458" t="s">
        <v>1606</v>
      </c>
      <c r="F458">
        <v>33</v>
      </c>
      <c r="G458" t="s">
        <v>1643</v>
      </c>
      <c r="H458" t="str">
        <f t="shared" si="7"/>
        <v>REDE 37 - BANDEIRA 37 - LOJA 457</v>
      </c>
      <c r="I458">
        <v>2</v>
      </c>
      <c r="J458" t="s">
        <v>1646</v>
      </c>
      <c r="K458">
        <v>3</v>
      </c>
      <c r="L458" t="s">
        <v>1105</v>
      </c>
      <c r="M458">
        <v>3</v>
      </c>
      <c r="N458" t="s">
        <v>43</v>
      </c>
      <c r="O458">
        <v>3</v>
      </c>
      <c r="P458" t="s">
        <v>44</v>
      </c>
      <c r="Q458" t="s">
        <v>43</v>
      </c>
      <c r="R458">
        <v>2</v>
      </c>
      <c r="S458" t="s">
        <v>39</v>
      </c>
      <c r="T458" t="s">
        <v>1106</v>
      </c>
      <c r="U458" s="1">
        <v>-2.29244551560644E+16</v>
      </c>
      <c r="V458" s="1">
        <v>-4322647121580190</v>
      </c>
      <c r="W458" t="s">
        <v>200</v>
      </c>
      <c r="X458">
        <v>1</v>
      </c>
      <c r="Y458" t="s">
        <v>34</v>
      </c>
    </row>
    <row r="459" spans="1:25" x14ac:dyDescent="0.3">
      <c r="A459">
        <v>458</v>
      </c>
      <c r="B459">
        <v>458</v>
      </c>
      <c r="C459">
        <v>33438250011444</v>
      </c>
      <c r="D459">
        <v>37</v>
      </c>
      <c r="E459" t="s">
        <v>1606</v>
      </c>
      <c r="F459">
        <v>33</v>
      </c>
      <c r="G459" t="s">
        <v>1643</v>
      </c>
      <c r="H459" t="str">
        <f t="shared" si="7"/>
        <v>REDE 37 - BANDEIRA 37 - LOJA 458</v>
      </c>
      <c r="I459">
        <v>2</v>
      </c>
      <c r="J459" t="s">
        <v>1646</v>
      </c>
      <c r="K459">
        <v>3</v>
      </c>
      <c r="L459" t="s">
        <v>1107</v>
      </c>
      <c r="M459">
        <v>3</v>
      </c>
      <c r="N459" t="s">
        <v>43</v>
      </c>
      <c r="O459">
        <v>3</v>
      </c>
      <c r="P459" t="s">
        <v>44</v>
      </c>
      <c r="Q459" t="s">
        <v>43</v>
      </c>
      <c r="R459">
        <v>2</v>
      </c>
      <c r="S459" t="s">
        <v>39</v>
      </c>
      <c r="T459" t="s">
        <v>1108</v>
      </c>
      <c r="U459" s="1">
        <v>-2.30141472331141E+16</v>
      </c>
      <c r="V459" s="1">
        <v>-4346320873603110</v>
      </c>
      <c r="W459" t="s">
        <v>109</v>
      </c>
      <c r="X459">
        <v>1</v>
      </c>
      <c r="Y459" t="s">
        <v>34</v>
      </c>
    </row>
    <row r="460" spans="1:25" x14ac:dyDescent="0.3">
      <c r="A460">
        <v>459</v>
      </c>
      <c r="B460">
        <v>459</v>
      </c>
      <c r="C460">
        <v>61412110067900</v>
      </c>
      <c r="D460">
        <v>37</v>
      </c>
      <c r="E460" t="s">
        <v>1606</v>
      </c>
      <c r="F460">
        <v>33</v>
      </c>
      <c r="G460" t="s">
        <v>1643</v>
      </c>
      <c r="H460" t="str">
        <f t="shared" si="7"/>
        <v>REDE 37 - BANDEIRA 37 - LOJA 459</v>
      </c>
      <c r="I460">
        <v>2</v>
      </c>
      <c r="J460" t="s">
        <v>1646</v>
      </c>
      <c r="K460">
        <v>3</v>
      </c>
      <c r="L460" t="s">
        <v>1109</v>
      </c>
      <c r="M460">
        <v>4</v>
      </c>
      <c r="N460" t="s">
        <v>60</v>
      </c>
      <c r="O460">
        <v>4</v>
      </c>
      <c r="P460" t="s">
        <v>61</v>
      </c>
      <c r="Q460" t="s">
        <v>62</v>
      </c>
      <c r="R460">
        <v>3</v>
      </c>
      <c r="S460" t="s">
        <v>63</v>
      </c>
      <c r="T460" t="s">
        <v>1110</v>
      </c>
      <c r="U460" s="1">
        <v>-1.58232619092015E+16</v>
      </c>
      <c r="V460" s="1">
        <v>-4.79047624114842E+16</v>
      </c>
      <c r="W460" t="s">
        <v>1111</v>
      </c>
      <c r="X460">
        <v>1</v>
      </c>
      <c r="Y460" t="s">
        <v>34</v>
      </c>
    </row>
    <row r="461" spans="1:25" x14ac:dyDescent="0.3">
      <c r="A461">
        <v>460</v>
      </c>
      <c r="B461">
        <v>460</v>
      </c>
      <c r="C461">
        <v>61412110101938</v>
      </c>
      <c r="D461">
        <v>37</v>
      </c>
      <c r="E461" t="s">
        <v>1606</v>
      </c>
      <c r="F461">
        <v>33</v>
      </c>
      <c r="G461" t="s">
        <v>1643</v>
      </c>
      <c r="H461" t="str">
        <f t="shared" si="7"/>
        <v>REDE 37 - BANDEIRA 37 - LOJA 460</v>
      </c>
      <c r="I461">
        <v>2</v>
      </c>
      <c r="J461" t="s">
        <v>1646</v>
      </c>
      <c r="K461">
        <v>3</v>
      </c>
      <c r="L461" t="s">
        <v>1112</v>
      </c>
      <c r="M461">
        <v>4</v>
      </c>
      <c r="N461" t="s">
        <v>60</v>
      </c>
      <c r="O461">
        <v>4</v>
      </c>
      <c r="P461" t="s">
        <v>61</v>
      </c>
      <c r="Q461" t="s">
        <v>62</v>
      </c>
      <c r="R461">
        <v>3</v>
      </c>
      <c r="S461" t="s">
        <v>63</v>
      </c>
      <c r="T461" t="s">
        <v>1083</v>
      </c>
      <c r="U461" s="1">
        <v>-1576273007497200</v>
      </c>
      <c r="V461" s="1">
        <v>-4788968899315330</v>
      </c>
      <c r="W461" t="s">
        <v>65</v>
      </c>
      <c r="X461">
        <v>1</v>
      </c>
      <c r="Y461" t="s">
        <v>34</v>
      </c>
    </row>
    <row r="462" spans="1:25" x14ac:dyDescent="0.3">
      <c r="A462">
        <v>461</v>
      </c>
      <c r="B462">
        <v>461</v>
      </c>
      <c r="C462">
        <v>33438250022560</v>
      </c>
      <c r="D462">
        <v>37</v>
      </c>
      <c r="E462" t="s">
        <v>1606</v>
      </c>
      <c r="F462">
        <v>33</v>
      </c>
      <c r="G462" t="s">
        <v>1643</v>
      </c>
      <c r="H462" t="str">
        <f t="shared" si="7"/>
        <v>REDE 37 - BANDEIRA 37 - LOJA 461</v>
      </c>
      <c r="I462">
        <v>2</v>
      </c>
      <c r="J462" t="s">
        <v>1646</v>
      </c>
      <c r="K462">
        <v>3</v>
      </c>
      <c r="L462" t="s">
        <v>1113</v>
      </c>
      <c r="M462">
        <v>3</v>
      </c>
      <c r="N462" t="s">
        <v>43</v>
      </c>
      <c r="O462">
        <v>3</v>
      </c>
      <c r="P462" t="s">
        <v>44</v>
      </c>
      <c r="Q462" t="s">
        <v>43</v>
      </c>
      <c r="R462">
        <v>2</v>
      </c>
      <c r="S462" t="s">
        <v>39</v>
      </c>
      <c r="T462" t="s">
        <v>1114</v>
      </c>
      <c r="U462" s="1">
        <v>-2.29495143999178E+16</v>
      </c>
      <c r="V462" s="1">
        <v>-4318500296366220</v>
      </c>
      <c r="W462" t="s">
        <v>45</v>
      </c>
      <c r="X462">
        <v>1</v>
      </c>
      <c r="Y462" t="s">
        <v>34</v>
      </c>
    </row>
    <row r="463" spans="1:25" x14ac:dyDescent="0.3">
      <c r="A463">
        <v>462</v>
      </c>
      <c r="B463">
        <v>462</v>
      </c>
      <c r="C463">
        <v>33438250059994</v>
      </c>
      <c r="D463">
        <v>37</v>
      </c>
      <c r="E463" t="s">
        <v>1606</v>
      </c>
      <c r="F463">
        <v>33</v>
      </c>
      <c r="G463" t="s">
        <v>1643</v>
      </c>
      <c r="H463" t="str">
        <f t="shared" si="7"/>
        <v>REDE 37 - BANDEIRA 37 - LOJA 462</v>
      </c>
      <c r="I463">
        <v>2</v>
      </c>
      <c r="J463" t="s">
        <v>1646</v>
      </c>
      <c r="K463">
        <v>3</v>
      </c>
      <c r="L463" t="s">
        <v>1115</v>
      </c>
      <c r="M463">
        <v>3</v>
      </c>
      <c r="N463" t="s">
        <v>43</v>
      </c>
      <c r="O463">
        <v>3</v>
      </c>
      <c r="P463" t="s">
        <v>44</v>
      </c>
      <c r="Q463" t="s">
        <v>43</v>
      </c>
      <c r="R463">
        <v>2</v>
      </c>
      <c r="S463" t="s">
        <v>39</v>
      </c>
      <c r="T463" t="s">
        <v>1106</v>
      </c>
      <c r="U463" s="1">
        <v>-2.29227613064483E+16</v>
      </c>
      <c r="V463" s="1">
        <v>-4322271957562810</v>
      </c>
      <c r="W463" t="s">
        <v>200</v>
      </c>
      <c r="X463">
        <v>1</v>
      </c>
      <c r="Y463" t="s">
        <v>34</v>
      </c>
    </row>
    <row r="464" spans="1:25" x14ac:dyDescent="0.3">
      <c r="A464">
        <v>463</v>
      </c>
      <c r="B464">
        <v>463</v>
      </c>
      <c r="C464">
        <v>33438250060496</v>
      </c>
      <c r="D464">
        <v>37</v>
      </c>
      <c r="E464" t="s">
        <v>1606</v>
      </c>
      <c r="F464">
        <v>33</v>
      </c>
      <c r="G464" t="s">
        <v>1643</v>
      </c>
      <c r="H464" t="str">
        <f t="shared" si="7"/>
        <v>REDE 37 - BANDEIRA 37 - LOJA 463</v>
      </c>
      <c r="I464">
        <v>2</v>
      </c>
      <c r="J464" t="s">
        <v>1646</v>
      </c>
      <c r="K464">
        <v>3</v>
      </c>
      <c r="L464" t="s">
        <v>1116</v>
      </c>
      <c r="M464">
        <v>3</v>
      </c>
      <c r="N464" t="s">
        <v>43</v>
      </c>
      <c r="O464">
        <v>3</v>
      </c>
      <c r="P464" t="s">
        <v>44</v>
      </c>
      <c r="Q464" t="s">
        <v>43</v>
      </c>
      <c r="R464">
        <v>2</v>
      </c>
      <c r="S464" t="s">
        <v>39</v>
      </c>
      <c r="T464" t="s">
        <v>566</v>
      </c>
      <c r="U464" s="1">
        <v>-2.28081851219334E+16</v>
      </c>
      <c r="V464" s="1">
        <v>-4319696626348970</v>
      </c>
      <c r="W464" t="s">
        <v>1117</v>
      </c>
      <c r="X464">
        <v>1</v>
      </c>
      <c r="Y464" t="s">
        <v>34</v>
      </c>
    </row>
    <row r="465" spans="1:25" x14ac:dyDescent="0.3">
      <c r="A465">
        <v>464</v>
      </c>
      <c r="B465">
        <v>464</v>
      </c>
      <c r="C465">
        <v>61412110101008</v>
      </c>
      <c r="D465">
        <v>33</v>
      </c>
      <c r="E465" t="s">
        <v>1604</v>
      </c>
      <c r="F465">
        <v>33</v>
      </c>
      <c r="G465" t="s">
        <v>1641</v>
      </c>
      <c r="H465" t="str">
        <f t="shared" si="7"/>
        <v>REDE 33 - BANDEIRA 33 - LOJA 464</v>
      </c>
      <c r="I465">
        <v>2</v>
      </c>
      <c r="J465" t="s">
        <v>1646</v>
      </c>
      <c r="K465">
        <v>3</v>
      </c>
      <c r="L465" t="s">
        <v>936</v>
      </c>
      <c r="M465">
        <v>2</v>
      </c>
      <c r="N465" t="s">
        <v>36</v>
      </c>
      <c r="O465">
        <v>2</v>
      </c>
      <c r="P465" t="s">
        <v>37</v>
      </c>
      <c r="Q465" t="s">
        <v>38</v>
      </c>
      <c r="R465">
        <v>2</v>
      </c>
      <c r="S465" t="s">
        <v>39</v>
      </c>
      <c r="T465" t="s">
        <v>937</v>
      </c>
      <c r="U465" s="1">
        <v>-2361642482502000</v>
      </c>
      <c r="V465" s="1">
        <v>-4664941927914530</v>
      </c>
      <c r="W465" t="s">
        <v>1118</v>
      </c>
      <c r="X465">
        <v>1</v>
      </c>
      <c r="Y465" t="s">
        <v>34</v>
      </c>
    </row>
    <row r="466" spans="1:25" x14ac:dyDescent="0.3">
      <c r="A466">
        <v>465</v>
      </c>
      <c r="B466">
        <v>465</v>
      </c>
      <c r="C466">
        <v>61412110094893</v>
      </c>
      <c r="D466">
        <v>37</v>
      </c>
      <c r="E466" t="s">
        <v>1606</v>
      </c>
      <c r="F466">
        <v>33</v>
      </c>
      <c r="G466" t="s">
        <v>1643</v>
      </c>
      <c r="H466" t="str">
        <f t="shared" si="7"/>
        <v>REDE 37 - BANDEIRA 37 - LOJA 465</v>
      </c>
      <c r="I466">
        <v>2</v>
      </c>
      <c r="J466" t="s">
        <v>1646</v>
      </c>
      <c r="K466">
        <v>3</v>
      </c>
      <c r="L466" t="s">
        <v>1119</v>
      </c>
      <c r="M466">
        <v>4</v>
      </c>
      <c r="N466" t="s">
        <v>60</v>
      </c>
      <c r="O466">
        <v>4</v>
      </c>
      <c r="P466" t="s">
        <v>61</v>
      </c>
      <c r="Q466" t="s">
        <v>62</v>
      </c>
      <c r="R466">
        <v>3</v>
      </c>
      <c r="S466" t="s">
        <v>63</v>
      </c>
      <c r="T466" t="s">
        <v>1120</v>
      </c>
      <c r="U466" s="1">
        <v>-1.5827785396298E+16</v>
      </c>
      <c r="V466" s="1">
        <v>-4792489072020940</v>
      </c>
      <c r="W466" t="s">
        <v>83</v>
      </c>
      <c r="X466">
        <v>1</v>
      </c>
      <c r="Y466" t="s">
        <v>34</v>
      </c>
    </row>
    <row r="467" spans="1:25" x14ac:dyDescent="0.3">
      <c r="A467">
        <v>466</v>
      </c>
      <c r="B467">
        <v>466</v>
      </c>
      <c r="C467">
        <v>33438250045420</v>
      </c>
      <c r="D467">
        <v>37</v>
      </c>
      <c r="E467" t="s">
        <v>1606</v>
      </c>
      <c r="F467">
        <v>33</v>
      </c>
      <c r="G467" t="s">
        <v>1643</v>
      </c>
      <c r="H467" t="str">
        <f t="shared" si="7"/>
        <v>REDE 37 - BANDEIRA 37 - LOJA 466</v>
      </c>
      <c r="I467">
        <v>2</v>
      </c>
      <c r="J467" t="s">
        <v>1646</v>
      </c>
      <c r="K467">
        <v>3</v>
      </c>
      <c r="L467" t="s">
        <v>1121</v>
      </c>
      <c r="M467">
        <v>3</v>
      </c>
      <c r="N467" t="s">
        <v>43</v>
      </c>
      <c r="O467">
        <v>3</v>
      </c>
      <c r="P467" t="s">
        <v>44</v>
      </c>
      <c r="Q467" t="s">
        <v>43</v>
      </c>
      <c r="R467">
        <v>2</v>
      </c>
      <c r="S467" t="s">
        <v>39</v>
      </c>
      <c r="T467" t="s">
        <v>1122</v>
      </c>
      <c r="U467" s="1">
        <v>-2.29364164627901E+16</v>
      </c>
      <c r="V467" s="1">
        <v>-4335154883211540</v>
      </c>
      <c r="W467" t="s">
        <v>1123</v>
      </c>
      <c r="X467">
        <v>1</v>
      </c>
      <c r="Y467" t="s">
        <v>34</v>
      </c>
    </row>
    <row r="468" spans="1:25" x14ac:dyDescent="0.3">
      <c r="A468">
        <v>467</v>
      </c>
      <c r="B468">
        <v>467</v>
      </c>
      <c r="C468">
        <v>33438250036862</v>
      </c>
      <c r="D468">
        <v>37</v>
      </c>
      <c r="E468" t="s">
        <v>1606</v>
      </c>
      <c r="F468">
        <v>33</v>
      </c>
      <c r="G468" t="s">
        <v>1643</v>
      </c>
      <c r="H468" t="str">
        <f t="shared" si="7"/>
        <v>REDE 37 - BANDEIRA 37 - LOJA 467</v>
      </c>
      <c r="I468">
        <v>2</v>
      </c>
      <c r="J468" t="s">
        <v>1646</v>
      </c>
      <c r="K468">
        <v>3</v>
      </c>
      <c r="L468" t="s">
        <v>1124</v>
      </c>
      <c r="M468">
        <v>3</v>
      </c>
      <c r="N468" t="s">
        <v>43</v>
      </c>
      <c r="O468">
        <v>3</v>
      </c>
      <c r="P468" t="s">
        <v>44</v>
      </c>
      <c r="Q468" t="s">
        <v>43</v>
      </c>
      <c r="R468">
        <v>2</v>
      </c>
      <c r="S468" t="s">
        <v>39</v>
      </c>
      <c r="T468" t="s">
        <v>1125</v>
      </c>
      <c r="U468" s="1">
        <v>-2298374221932130</v>
      </c>
      <c r="V468" s="1">
        <v>-4321034030553110</v>
      </c>
      <c r="W468" t="s">
        <v>152</v>
      </c>
      <c r="X468">
        <v>1</v>
      </c>
      <c r="Y468" t="s">
        <v>34</v>
      </c>
    </row>
    <row r="469" spans="1:25" x14ac:dyDescent="0.3">
      <c r="A469">
        <v>468</v>
      </c>
      <c r="B469">
        <v>468</v>
      </c>
      <c r="C469">
        <v>33438250055573</v>
      </c>
      <c r="D469">
        <v>37</v>
      </c>
      <c r="E469" t="s">
        <v>1606</v>
      </c>
      <c r="F469">
        <v>33</v>
      </c>
      <c r="G469" t="s">
        <v>1643</v>
      </c>
      <c r="H469" t="str">
        <f t="shared" si="7"/>
        <v>REDE 37 - BANDEIRA 37 - LOJA 468</v>
      </c>
      <c r="I469">
        <v>2</v>
      </c>
      <c r="J469" t="s">
        <v>1646</v>
      </c>
      <c r="K469">
        <v>3</v>
      </c>
      <c r="L469" t="s">
        <v>1126</v>
      </c>
      <c r="M469">
        <v>3</v>
      </c>
      <c r="N469" t="s">
        <v>43</v>
      </c>
      <c r="O469">
        <v>3</v>
      </c>
      <c r="P469" t="s">
        <v>44</v>
      </c>
      <c r="Q469" t="s">
        <v>43</v>
      </c>
      <c r="R469">
        <v>2</v>
      </c>
      <c r="S469" t="s">
        <v>39</v>
      </c>
      <c r="T469" t="s">
        <v>1127</v>
      </c>
      <c r="U469" s="1">
        <v>-229671796721069</v>
      </c>
      <c r="V469" s="1">
        <v>-4341311866912760</v>
      </c>
      <c r="W469" t="s">
        <v>723</v>
      </c>
      <c r="X469">
        <v>1</v>
      </c>
      <c r="Y469" t="s">
        <v>34</v>
      </c>
    </row>
    <row r="470" spans="1:25" x14ac:dyDescent="0.3">
      <c r="A470">
        <v>469</v>
      </c>
      <c r="B470">
        <v>469</v>
      </c>
      <c r="C470">
        <v>33438250053520</v>
      </c>
      <c r="D470">
        <v>37</v>
      </c>
      <c r="E470" t="s">
        <v>1606</v>
      </c>
      <c r="F470">
        <v>33</v>
      </c>
      <c r="G470" t="s">
        <v>1643</v>
      </c>
      <c r="H470" t="str">
        <f t="shared" si="7"/>
        <v>REDE 37 - BANDEIRA 37 - LOJA 469</v>
      </c>
      <c r="I470">
        <v>2</v>
      </c>
      <c r="J470" t="s">
        <v>1646</v>
      </c>
      <c r="K470">
        <v>3</v>
      </c>
      <c r="L470" t="s">
        <v>1128</v>
      </c>
      <c r="M470">
        <v>3</v>
      </c>
      <c r="N470" t="s">
        <v>43</v>
      </c>
      <c r="O470">
        <v>3</v>
      </c>
      <c r="P470" t="s">
        <v>44</v>
      </c>
      <c r="Q470" t="s">
        <v>43</v>
      </c>
      <c r="R470">
        <v>2</v>
      </c>
      <c r="S470" t="s">
        <v>39</v>
      </c>
      <c r="T470" t="s">
        <v>282</v>
      </c>
      <c r="U470" s="1">
        <v>-2301248601321200</v>
      </c>
      <c r="V470" s="1">
        <v>-4345679602675600</v>
      </c>
      <c r="W470" t="s">
        <v>109</v>
      </c>
      <c r="X470">
        <v>1</v>
      </c>
      <c r="Y470" t="s">
        <v>34</v>
      </c>
    </row>
    <row r="471" spans="1:25" x14ac:dyDescent="0.3">
      <c r="A471">
        <v>470</v>
      </c>
      <c r="B471">
        <v>470</v>
      </c>
      <c r="C471">
        <v>33438250067237</v>
      </c>
      <c r="D471">
        <v>37</v>
      </c>
      <c r="E471" t="s">
        <v>1606</v>
      </c>
      <c r="F471">
        <v>33</v>
      </c>
      <c r="G471" t="s">
        <v>1643</v>
      </c>
      <c r="H471" t="str">
        <f t="shared" si="7"/>
        <v>REDE 37 - BANDEIRA 37 - LOJA 470</v>
      </c>
      <c r="I471">
        <v>2</v>
      </c>
      <c r="J471" t="s">
        <v>1646</v>
      </c>
      <c r="K471">
        <v>3</v>
      </c>
      <c r="L471" t="s">
        <v>1129</v>
      </c>
      <c r="M471">
        <v>3</v>
      </c>
      <c r="N471" t="s">
        <v>43</v>
      </c>
      <c r="O471">
        <v>3</v>
      </c>
      <c r="P471" t="s">
        <v>44</v>
      </c>
      <c r="Q471" t="s">
        <v>43</v>
      </c>
      <c r="R471">
        <v>2</v>
      </c>
      <c r="S471" t="s">
        <v>39</v>
      </c>
      <c r="T471" t="s">
        <v>1130</v>
      </c>
      <c r="U471" s="1">
        <v>-2.26797215376418E+16</v>
      </c>
      <c r="V471" s="1">
        <v>-4.32750738751724E+16</v>
      </c>
      <c r="W471" t="s">
        <v>1131</v>
      </c>
      <c r="X471">
        <v>1</v>
      </c>
      <c r="Y471" t="s">
        <v>34</v>
      </c>
    </row>
    <row r="472" spans="1:25" x14ac:dyDescent="0.3">
      <c r="A472">
        <v>471</v>
      </c>
      <c r="B472">
        <v>471</v>
      </c>
      <c r="C472">
        <v>61412110084154</v>
      </c>
      <c r="D472">
        <v>37</v>
      </c>
      <c r="E472" t="s">
        <v>1606</v>
      </c>
      <c r="F472">
        <v>33</v>
      </c>
      <c r="G472" t="s">
        <v>1643</v>
      </c>
      <c r="H472" t="str">
        <f t="shared" si="7"/>
        <v>REDE 37 - BANDEIRA 37 - LOJA 471</v>
      </c>
      <c r="I472">
        <v>2</v>
      </c>
      <c r="J472" t="s">
        <v>1646</v>
      </c>
      <c r="K472">
        <v>3</v>
      </c>
      <c r="L472" t="s">
        <v>1132</v>
      </c>
      <c r="M472">
        <v>4</v>
      </c>
      <c r="N472" t="s">
        <v>60</v>
      </c>
      <c r="O472">
        <v>4</v>
      </c>
      <c r="P472" t="s">
        <v>61</v>
      </c>
      <c r="Q472" t="s">
        <v>62</v>
      </c>
      <c r="R472">
        <v>3</v>
      </c>
      <c r="S472" t="s">
        <v>63</v>
      </c>
      <c r="T472" t="s">
        <v>1133</v>
      </c>
      <c r="U472" s="1">
        <v>-1584623880240690</v>
      </c>
      <c r="V472" s="1">
        <v>-4.7895422069446496E+16</v>
      </c>
      <c r="W472" t="s">
        <v>101</v>
      </c>
      <c r="X472">
        <v>1</v>
      </c>
      <c r="Y472" t="s">
        <v>34</v>
      </c>
    </row>
    <row r="473" spans="1:25" x14ac:dyDescent="0.3">
      <c r="A473">
        <v>472</v>
      </c>
      <c r="B473">
        <v>472</v>
      </c>
      <c r="C473">
        <v>33438250048011</v>
      </c>
      <c r="D473">
        <v>37</v>
      </c>
      <c r="E473" t="s">
        <v>1606</v>
      </c>
      <c r="F473">
        <v>33</v>
      </c>
      <c r="G473" t="s">
        <v>1643</v>
      </c>
      <c r="H473" t="str">
        <f t="shared" si="7"/>
        <v>REDE 37 - BANDEIRA 37 - LOJA 472</v>
      </c>
      <c r="I473">
        <v>2</v>
      </c>
      <c r="J473" t="s">
        <v>1646</v>
      </c>
      <c r="K473">
        <v>3</v>
      </c>
      <c r="L473" t="s">
        <v>1134</v>
      </c>
      <c r="M473">
        <v>3</v>
      </c>
      <c r="N473" t="s">
        <v>43</v>
      </c>
      <c r="O473">
        <v>3</v>
      </c>
      <c r="P473" t="s">
        <v>44</v>
      </c>
      <c r="Q473" t="s">
        <v>43</v>
      </c>
      <c r="R473">
        <v>2</v>
      </c>
      <c r="S473" t="s">
        <v>39</v>
      </c>
      <c r="T473" t="s">
        <v>1135</v>
      </c>
      <c r="U473" s="1">
        <v>-2.29279374637213E+16</v>
      </c>
      <c r="V473" s="1">
        <v>-4333989274673230</v>
      </c>
      <c r="W473" t="s">
        <v>723</v>
      </c>
      <c r="X473">
        <v>1</v>
      </c>
      <c r="Y473" t="s">
        <v>34</v>
      </c>
    </row>
    <row r="474" spans="1:25" x14ac:dyDescent="0.3">
      <c r="A474">
        <v>473</v>
      </c>
      <c r="B474">
        <v>473</v>
      </c>
      <c r="C474">
        <v>61412110058315</v>
      </c>
      <c r="D474">
        <v>37</v>
      </c>
      <c r="E474" t="s">
        <v>1606</v>
      </c>
      <c r="F474">
        <v>33</v>
      </c>
      <c r="G474" t="s">
        <v>1643</v>
      </c>
      <c r="H474" t="str">
        <f t="shared" si="7"/>
        <v>REDE 37 - BANDEIRA 37 - LOJA 473</v>
      </c>
      <c r="I474">
        <v>2</v>
      </c>
      <c r="J474" t="s">
        <v>1646</v>
      </c>
      <c r="K474">
        <v>3</v>
      </c>
      <c r="L474" t="s">
        <v>1136</v>
      </c>
      <c r="M474">
        <v>4</v>
      </c>
      <c r="N474" t="s">
        <v>60</v>
      </c>
      <c r="O474">
        <v>4</v>
      </c>
      <c r="P474" t="s">
        <v>61</v>
      </c>
      <c r="Q474" t="s">
        <v>62</v>
      </c>
      <c r="R474">
        <v>3</v>
      </c>
      <c r="S474" t="s">
        <v>63</v>
      </c>
      <c r="T474" t="s">
        <v>106</v>
      </c>
      <c r="U474" s="1">
        <v>-1.58395695916907E+16</v>
      </c>
      <c r="V474" s="1">
        <v>-4801876504975560</v>
      </c>
      <c r="W474" t="s">
        <v>1137</v>
      </c>
      <c r="X474">
        <v>1</v>
      </c>
      <c r="Y474" t="s">
        <v>34</v>
      </c>
    </row>
    <row r="475" spans="1:25" x14ac:dyDescent="0.3">
      <c r="A475">
        <v>474</v>
      </c>
      <c r="B475">
        <v>474</v>
      </c>
      <c r="C475">
        <v>33438250047716</v>
      </c>
      <c r="D475">
        <v>37</v>
      </c>
      <c r="E475" t="s">
        <v>1606</v>
      </c>
      <c r="F475">
        <v>33</v>
      </c>
      <c r="G475" t="s">
        <v>1643</v>
      </c>
      <c r="H475" t="str">
        <f t="shared" si="7"/>
        <v>REDE 37 - BANDEIRA 37 - LOJA 474</v>
      </c>
      <c r="I475">
        <v>2</v>
      </c>
      <c r="J475" t="s">
        <v>1646</v>
      </c>
      <c r="K475">
        <v>3</v>
      </c>
      <c r="L475" t="s">
        <v>1138</v>
      </c>
      <c r="M475">
        <v>3</v>
      </c>
      <c r="N475" t="s">
        <v>43</v>
      </c>
      <c r="O475">
        <v>3</v>
      </c>
      <c r="P475" t="s">
        <v>44</v>
      </c>
      <c r="Q475" t="s">
        <v>43</v>
      </c>
      <c r="R475">
        <v>2</v>
      </c>
      <c r="S475" t="s">
        <v>39</v>
      </c>
      <c r="T475" t="s">
        <v>1139</v>
      </c>
      <c r="U475" s="1">
        <v>-2.29384953491922E+16</v>
      </c>
      <c r="V475" s="1">
        <v>-430606056127635</v>
      </c>
      <c r="W475" t="s">
        <v>1140</v>
      </c>
      <c r="X475">
        <v>1</v>
      </c>
      <c r="Y475" t="s">
        <v>34</v>
      </c>
    </row>
    <row r="476" spans="1:25" x14ac:dyDescent="0.3">
      <c r="A476">
        <v>475</v>
      </c>
      <c r="B476">
        <v>475</v>
      </c>
      <c r="C476">
        <v>33438250015784</v>
      </c>
      <c r="D476">
        <v>37</v>
      </c>
      <c r="E476" t="s">
        <v>1606</v>
      </c>
      <c r="F476">
        <v>33</v>
      </c>
      <c r="G476" t="s">
        <v>1643</v>
      </c>
      <c r="H476" t="str">
        <f t="shared" si="7"/>
        <v>REDE 37 - BANDEIRA 37 - LOJA 475</v>
      </c>
      <c r="I476">
        <v>2</v>
      </c>
      <c r="J476" t="s">
        <v>1646</v>
      </c>
      <c r="K476">
        <v>3</v>
      </c>
      <c r="L476" t="s">
        <v>1141</v>
      </c>
      <c r="M476">
        <v>3</v>
      </c>
      <c r="N476" t="s">
        <v>43</v>
      </c>
      <c r="O476">
        <v>3</v>
      </c>
      <c r="P476" t="s">
        <v>44</v>
      </c>
      <c r="Q476" t="s">
        <v>43</v>
      </c>
      <c r="R476">
        <v>2</v>
      </c>
      <c r="S476" t="s">
        <v>39</v>
      </c>
      <c r="T476" t="s">
        <v>1142</v>
      </c>
      <c r="U476" s="1">
        <v>-2290320308158120</v>
      </c>
      <c r="V476" s="1">
        <v>-4355844272500600</v>
      </c>
      <c r="W476" t="s">
        <v>1143</v>
      </c>
      <c r="X476">
        <v>1</v>
      </c>
      <c r="Y476" t="s">
        <v>34</v>
      </c>
    </row>
    <row r="477" spans="1:25" x14ac:dyDescent="0.3">
      <c r="A477">
        <v>476</v>
      </c>
      <c r="B477">
        <v>476</v>
      </c>
      <c r="C477">
        <v>33438250004316</v>
      </c>
      <c r="D477">
        <v>37</v>
      </c>
      <c r="E477" t="s">
        <v>1606</v>
      </c>
      <c r="F477">
        <v>33</v>
      </c>
      <c r="G477" t="s">
        <v>1643</v>
      </c>
      <c r="H477" t="str">
        <f t="shared" si="7"/>
        <v>REDE 37 - BANDEIRA 37 - LOJA 476</v>
      </c>
      <c r="I477">
        <v>2</v>
      </c>
      <c r="J477" t="s">
        <v>1646</v>
      </c>
      <c r="K477">
        <v>3</v>
      </c>
      <c r="L477" t="s">
        <v>1144</v>
      </c>
      <c r="M477">
        <v>3</v>
      </c>
      <c r="N477" t="s">
        <v>43</v>
      </c>
      <c r="O477">
        <v>3</v>
      </c>
      <c r="P477" t="s">
        <v>44</v>
      </c>
      <c r="Q477" t="s">
        <v>43</v>
      </c>
      <c r="R477">
        <v>2</v>
      </c>
      <c r="S477" t="s">
        <v>39</v>
      </c>
      <c r="T477" t="s">
        <v>1145</v>
      </c>
      <c r="U477" s="1">
        <v>-2289711600081080</v>
      </c>
      <c r="V477" s="1">
        <v>-4329525500936470</v>
      </c>
      <c r="W477" t="s">
        <v>1146</v>
      </c>
      <c r="X477">
        <v>1</v>
      </c>
      <c r="Y477" t="s">
        <v>34</v>
      </c>
    </row>
    <row r="478" spans="1:25" x14ac:dyDescent="0.3">
      <c r="A478">
        <v>477</v>
      </c>
      <c r="B478">
        <v>477</v>
      </c>
      <c r="C478">
        <v>61412110056614</v>
      </c>
      <c r="D478">
        <v>37</v>
      </c>
      <c r="E478" t="s">
        <v>1606</v>
      </c>
      <c r="F478">
        <v>33</v>
      </c>
      <c r="G478" t="s">
        <v>1643</v>
      </c>
      <c r="H478" t="str">
        <f t="shared" si="7"/>
        <v>REDE 37 - BANDEIRA 37 - LOJA 477</v>
      </c>
      <c r="I478">
        <v>2</v>
      </c>
      <c r="J478" t="s">
        <v>1646</v>
      </c>
      <c r="K478">
        <v>3</v>
      </c>
      <c r="L478" t="s">
        <v>1147</v>
      </c>
      <c r="M478">
        <v>4</v>
      </c>
      <c r="N478" t="s">
        <v>60</v>
      </c>
      <c r="O478">
        <v>4</v>
      </c>
      <c r="P478" t="s">
        <v>61</v>
      </c>
      <c r="Q478" t="s">
        <v>62</v>
      </c>
      <c r="R478">
        <v>3</v>
      </c>
      <c r="S478" t="s">
        <v>63</v>
      </c>
      <c r="T478" t="s">
        <v>1120</v>
      </c>
      <c r="U478" s="1">
        <v>-1.58277535235829E+16</v>
      </c>
      <c r="V478" s="1">
        <v>-4.7924933609577E+16</v>
      </c>
      <c r="W478" t="s">
        <v>83</v>
      </c>
      <c r="X478">
        <v>1</v>
      </c>
      <c r="Y478" t="s">
        <v>34</v>
      </c>
    </row>
    <row r="479" spans="1:25" x14ac:dyDescent="0.3">
      <c r="A479">
        <v>478</v>
      </c>
      <c r="B479">
        <v>478</v>
      </c>
      <c r="C479">
        <v>33438250061549</v>
      </c>
      <c r="D479">
        <v>37</v>
      </c>
      <c r="E479" t="s">
        <v>1606</v>
      </c>
      <c r="F479">
        <v>33</v>
      </c>
      <c r="G479" t="s">
        <v>1643</v>
      </c>
      <c r="H479" t="str">
        <f t="shared" si="7"/>
        <v>REDE 37 - BANDEIRA 37 - LOJA 478</v>
      </c>
      <c r="I479">
        <v>2</v>
      </c>
      <c r="J479" t="s">
        <v>1646</v>
      </c>
      <c r="K479">
        <v>3</v>
      </c>
      <c r="L479" t="s">
        <v>1148</v>
      </c>
      <c r="M479">
        <v>3</v>
      </c>
      <c r="N479" t="s">
        <v>43</v>
      </c>
      <c r="O479">
        <v>3</v>
      </c>
      <c r="P479" t="s">
        <v>44</v>
      </c>
      <c r="Q479" t="s">
        <v>43</v>
      </c>
      <c r="R479">
        <v>2</v>
      </c>
      <c r="S479" t="s">
        <v>39</v>
      </c>
      <c r="T479" t="s">
        <v>1149</v>
      </c>
      <c r="U479" s="1">
        <v>-2292787624451970</v>
      </c>
      <c r="V479" s="1">
        <v>-4.35541831256376E+16</v>
      </c>
      <c r="W479" t="s">
        <v>1143</v>
      </c>
      <c r="X479">
        <v>1</v>
      </c>
      <c r="Y479" t="s">
        <v>34</v>
      </c>
    </row>
    <row r="480" spans="1:25" x14ac:dyDescent="0.3">
      <c r="A480">
        <v>479</v>
      </c>
      <c r="B480">
        <v>479</v>
      </c>
      <c r="C480">
        <v>33438250065293</v>
      </c>
      <c r="D480">
        <v>37</v>
      </c>
      <c r="E480" t="s">
        <v>1606</v>
      </c>
      <c r="F480">
        <v>33</v>
      </c>
      <c r="G480" t="s">
        <v>1643</v>
      </c>
      <c r="H480" t="str">
        <f t="shared" si="7"/>
        <v>REDE 37 - BANDEIRA 37 - LOJA 479</v>
      </c>
      <c r="I480">
        <v>2</v>
      </c>
      <c r="J480" t="s">
        <v>1646</v>
      </c>
      <c r="K480">
        <v>3</v>
      </c>
      <c r="L480" t="s">
        <v>1150</v>
      </c>
      <c r="M480">
        <v>3</v>
      </c>
      <c r="N480" t="s">
        <v>43</v>
      </c>
      <c r="O480">
        <v>3</v>
      </c>
      <c r="P480" t="s">
        <v>44</v>
      </c>
      <c r="Q480" t="s">
        <v>43</v>
      </c>
      <c r="R480">
        <v>2</v>
      </c>
      <c r="S480" t="s">
        <v>39</v>
      </c>
      <c r="T480" t="s">
        <v>1151</v>
      </c>
      <c r="U480" s="1">
        <v>-2.28988297173627E+16</v>
      </c>
      <c r="V480" s="1">
        <v>-4.31056297725044E+16</v>
      </c>
      <c r="W480" t="s">
        <v>1152</v>
      </c>
      <c r="X480">
        <v>1</v>
      </c>
      <c r="Y480" t="s">
        <v>34</v>
      </c>
    </row>
    <row r="481" spans="1:25" x14ac:dyDescent="0.3">
      <c r="A481">
        <v>480</v>
      </c>
      <c r="B481">
        <v>480</v>
      </c>
      <c r="C481">
        <v>33438250058670</v>
      </c>
      <c r="D481">
        <v>37</v>
      </c>
      <c r="E481" t="s">
        <v>1606</v>
      </c>
      <c r="F481">
        <v>33</v>
      </c>
      <c r="G481" t="s">
        <v>1643</v>
      </c>
      <c r="H481" t="str">
        <f t="shared" si="7"/>
        <v>REDE 37 - BANDEIRA 37 - LOJA 480</v>
      </c>
      <c r="I481">
        <v>2</v>
      </c>
      <c r="J481" t="s">
        <v>1646</v>
      </c>
      <c r="K481">
        <v>3</v>
      </c>
      <c r="L481" t="s">
        <v>1153</v>
      </c>
      <c r="M481">
        <v>3</v>
      </c>
      <c r="N481" t="s">
        <v>43</v>
      </c>
      <c r="O481">
        <v>3</v>
      </c>
      <c r="P481" t="s">
        <v>44</v>
      </c>
      <c r="Q481" t="s">
        <v>43</v>
      </c>
      <c r="R481">
        <v>2</v>
      </c>
      <c r="S481" t="s">
        <v>39</v>
      </c>
      <c r="T481" t="s">
        <v>1154</v>
      </c>
      <c r="U481" s="1">
        <v>-2.29275425398092E+16</v>
      </c>
      <c r="V481" s="1">
        <v>-4337385530217180</v>
      </c>
      <c r="W481" t="s">
        <v>1155</v>
      </c>
      <c r="X481">
        <v>1</v>
      </c>
      <c r="Y481" t="s">
        <v>34</v>
      </c>
    </row>
    <row r="482" spans="1:25" x14ac:dyDescent="0.3">
      <c r="A482">
        <v>481</v>
      </c>
      <c r="B482">
        <v>481</v>
      </c>
      <c r="C482">
        <v>33438250042323</v>
      </c>
      <c r="D482">
        <v>37</v>
      </c>
      <c r="E482" t="s">
        <v>1606</v>
      </c>
      <c r="F482">
        <v>33</v>
      </c>
      <c r="G482" t="s">
        <v>1643</v>
      </c>
      <c r="H482" t="str">
        <f t="shared" si="7"/>
        <v>REDE 37 - BANDEIRA 37 - LOJA 481</v>
      </c>
      <c r="I482">
        <v>2</v>
      </c>
      <c r="J482" t="s">
        <v>1646</v>
      </c>
      <c r="K482">
        <v>3</v>
      </c>
      <c r="L482" t="s">
        <v>1156</v>
      </c>
      <c r="M482">
        <v>3</v>
      </c>
      <c r="N482" t="s">
        <v>43</v>
      </c>
      <c r="O482">
        <v>3</v>
      </c>
      <c r="P482" t="s">
        <v>44</v>
      </c>
      <c r="Q482" t="s">
        <v>43</v>
      </c>
      <c r="R482">
        <v>2</v>
      </c>
      <c r="S482" t="s">
        <v>39</v>
      </c>
      <c r="T482" t="s">
        <v>1157</v>
      </c>
      <c r="U482" s="1">
        <v>-2287926412851560</v>
      </c>
      <c r="V482" s="1">
        <v>-4345155506508190</v>
      </c>
      <c r="W482" t="s">
        <v>1158</v>
      </c>
      <c r="X482">
        <v>1</v>
      </c>
      <c r="Y482" t="s">
        <v>34</v>
      </c>
    </row>
    <row r="483" spans="1:25" x14ac:dyDescent="0.3">
      <c r="A483">
        <v>482</v>
      </c>
      <c r="B483">
        <v>482</v>
      </c>
      <c r="C483">
        <v>33438250056200</v>
      </c>
      <c r="D483">
        <v>37</v>
      </c>
      <c r="E483" t="s">
        <v>1606</v>
      </c>
      <c r="F483">
        <v>33</v>
      </c>
      <c r="G483" t="s">
        <v>1643</v>
      </c>
      <c r="H483" t="str">
        <f t="shared" si="7"/>
        <v>REDE 37 - BANDEIRA 37 - LOJA 482</v>
      </c>
      <c r="I483">
        <v>2</v>
      </c>
      <c r="J483" t="s">
        <v>1646</v>
      </c>
      <c r="K483">
        <v>3</v>
      </c>
      <c r="L483" t="s">
        <v>1159</v>
      </c>
      <c r="M483">
        <v>3</v>
      </c>
      <c r="N483" t="s">
        <v>43</v>
      </c>
      <c r="O483">
        <v>3</v>
      </c>
      <c r="P483" t="s">
        <v>44</v>
      </c>
      <c r="Q483" t="s">
        <v>43</v>
      </c>
      <c r="R483">
        <v>2</v>
      </c>
      <c r="S483" t="s">
        <v>39</v>
      </c>
      <c r="T483" t="s">
        <v>108</v>
      </c>
      <c r="U483" s="1">
        <v>-2.30082517298462E+16</v>
      </c>
      <c r="V483" s="1">
        <v>-4344486345948000</v>
      </c>
      <c r="W483" t="s">
        <v>109</v>
      </c>
      <c r="X483">
        <v>1</v>
      </c>
      <c r="Y483" t="s">
        <v>34</v>
      </c>
    </row>
    <row r="484" spans="1:25" x14ac:dyDescent="0.3">
      <c r="A484">
        <v>483</v>
      </c>
      <c r="B484">
        <v>483</v>
      </c>
      <c r="C484">
        <v>61412110088222</v>
      </c>
      <c r="D484">
        <v>37</v>
      </c>
      <c r="E484" t="s">
        <v>1606</v>
      </c>
      <c r="F484">
        <v>33</v>
      </c>
      <c r="G484" t="s">
        <v>1643</v>
      </c>
      <c r="H484" t="str">
        <f t="shared" si="7"/>
        <v>REDE 37 - BANDEIRA 37 - LOJA 483</v>
      </c>
      <c r="I484">
        <v>2</v>
      </c>
      <c r="J484" t="s">
        <v>1646</v>
      </c>
      <c r="K484">
        <v>3</v>
      </c>
      <c r="L484" t="s">
        <v>1160</v>
      </c>
      <c r="M484">
        <v>4</v>
      </c>
      <c r="N484" t="s">
        <v>60</v>
      </c>
      <c r="O484">
        <v>4</v>
      </c>
      <c r="P484" t="s">
        <v>61</v>
      </c>
      <c r="Q484" t="s">
        <v>62</v>
      </c>
      <c r="R484">
        <v>3</v>
      </c>
      <c r="S484" t="s">
        <v>63</v>
      </c>
      <c r="T484" t="s">
        <v>1161</v>
      </c>
      <c r="U484" s="1">
        <v>-1.57507156468436E+16</v>
      </c>
      <c r="V484" s="1">
        <v>-4788554682111970</v>
      </c>
      <c r="W484" t="s">
        <v>65</v>
      </c>
      <c r="X484">
        <v>1</v>
      </c>
      <c r="Y484" t="s">
        <v>34</v>
      </c>
    </row>
    <row r="485" spans="1:25" x14ac:dyDescent="0.3">
      <c r="A485">
        <v>484</v>
      </c>
      <c r="B485">
        <v>485</v>
      </c>
      <c r="C485">
        <v>28396735001096</v>
      </c>
      <c r="D485">
        <v>12</v>
      </c>
      <c r="E485" t="s">
        <v>1583</v>
      </c>
      <c r="F485">
        <v>12</v>
      </c>
      <c r="G485" t="s">
        <v>1620</v>
      </c>
      <c r="H485" t="str">
        <f t="shared" si="7"/>
        <v>REDE 12 - BANDEIRA 12 - LOJA 485</v>
      </c>
      <c r="I485">
        <v>1</v>
      </c>
      <c r="J485" t="s">
        <v>26</v>
      </c>
      <c r="K485">
        <v>1</v>
      </c>
      <c r="L485" t="s">
        <v>1162</v>
      </c>
      <c r="M485">
        <v>6</v>
      </c>
      <c r="N485" t="s">
        <v>236</v>
      </c>
      <c r="O485">
        <v>5</v>
      </c>
      <c r="P485" t="s">
        <v>237</v>
      </c>
      <c r="Q485" t="s">
        <v>238</v>
      </c>
      <c r="R485">
        <v>4</v>
      </c>
      <c r="S485" t="s">
        <v>239</v>
      </c>
      <c r="T485">
        <v>60040530</v>
      </c>
      <c r="U485" s="1">
        <v>-37506291</v>
      </c>
      <c r="V485" s="1">
        <v>-385275024</v>
      </c>
      <c r="W485" t="s">
        <v>405</v>
      </c>
      <c r="X485">
        <v>1</v>
      </c>
      <c r="Y485" t="s">
        <v>34</v>
      </c>
    </row>
    <row r="486" spans="1:25" x14ac:dyDescent="0.3">
      <c r="A486">
        <v>485</v>
      </c>
      <c r="B486">
        <v>486</v>
      </c>
      <c r="C486">
        <v>53541605000156</v>
      </c>
      <c r="D486">
        <v>3</v>
      </c>
      <c r="E486" t="s">
        <v>1574</v>
      </c>
      <c r="F486">
        <v>3</v>
      </c>
      <c r="G486" t="s">
        <v>1611</v>
      </c>
      <c r="H486" t="str">
        <f t="shared" si="7"/>
        <v>REDE 3 - BANDEIRA 3 - LOJA 486</v>
      </c>
      <c r="I486">
        <v>1</v>
      </c>
      <c r="J486" t="s">
        <v>26</v>
      </c>
      <c r="K486">
        <v>1</v>
      </c>
      <c r="L486" t="s">
        <v>1163</v>
      </c>
      <c r="M486">
        <v>3</v>
      </c>
      <c r="N486" t="s">
        <v>43</v>
      </c>
      <c r="O486">
        <v>3</v>
      </c>
      <c r="P486" t="s">
        <v>44</v>
      </c>
      <c r="Q486" t="s">
        <v>43</v>
      </c>
      <c r="R486">
        <v>2</v>
      </c>
      <c r="S486" t="s">
        <v>39</v>
      </c>
      <c r="T486">
        <v>22640904</v>
      </c>
      <c r="U486" s="1">
        <v>-230043642</v>
      </c>
      <c r="V486" s="1">
        <v>-433197559</v>
      </c>
      <c r="W486" t="s">
        <v>115</v>
      </c>
      <c r="X486">
        <v>1</v>
      </c>
      <c r="Y486" t="s">
        <v>34</v>
      </c>
    </row>
    <row r="487" spans="1:25" x14ac:dyDescent="0.3">
      <c r="A487">
        <v>486</v>
      </c>
      <c r="B487">
        <v>487</v>
      </c>
      <c r="C487">
        <v>61585865163450</v>
      </c>
      <c r="D487">
        <v>39</v>
      </c>
      <c r="E487" t="s">
        <v>1600</v>
      </c>
      <c r="F487">
        <v>38</v>
      </c>
      <c r="G487" t="s">
        <v>1637</v>
      </c>
      <c r="H487" t="str">
        <f t="shared" si="7"/>
        <v>REDE 39 - BANDEIRA 39 - LOJA 487</v>
      </c>
      <c r="I487">
        <v>2</v>
      </c>
      <c r="J487" t="s">
        <v>1646</v>
      </c>
      <c r="K487">
        <v>3</v>
      </c>
      <c r="L487" t="s">
        <v>855</v>
      </c>
      <c r="M487">
        <v>2</v>
      </c>
      <c r="N487" t="s">
        <v>36</v>
      </c>
      <c r="O487">
        <v>2</v>
      </c>
      <c r="P487" t="s">
        <v>37</v>
      </c>
      <c r="Q487" t="s">
        <v>38</v>
      </c>
      <c r="R487">
        <v>2</v>
      </c>
      <c r="S487" t="s">
        <v>39</v>
      </c>
      <c r="T487" t="s">
        <v>1164</v>
      </c>
      <c r="U487" s="1">
        <v>-23620009</v>
      </c>
      <c r="V487" s="1">
        <v>-4669418</v>
      </c>
      <c r="W487" t="s">
        <v>768</v>
      </c>
      <c r="X487">
        <v>1</v>
      </c>
      <c r="Y487" t="s">
        <v>34</v>
      </c>
    </row>
    <row r="488" spans="1:25" x14ac:dyDescent="0.3">
      <c r="A488">
        <v>487</v>
      </c>
      <c r="B488">
        <v>488</v>
      </c>
      <c r="C488">
        <v>61585865061703</v>
      </c>
      <c r="D488">
        <v>39</v>
      </c>
      <c r="E488" t="s">
        <v>1600</v>
      </c>
      <c r="F488">
        <v>38</v>
      </c>
      <c r="G488" t="s">
        <v>1637</v>
      </c>
      <c r="H488" t="str">
        <f t="shared" si="7"/>
        <v>REDE 39 - BANDEIRA 39 - LOJA 488</v>
      </c>
      <c r="I488">
        <v>2</v>
      </c>
      <c r="J488" t="s">
        <v>1646</v>
      </c>
      <c r="K488">
        <v>3</v>
      </c>
      <c r="L488" t="s">
        <v>1165</v>
      </c>
      <c r="M488">
        <v>2</v>
      </c>
      <c r="N488" t="s">
        <v>36</v>
      </c>
      <c r="O488">
        <v>2</v>
      </c>
      <c r="P488" t="s">
        <v>37</v>
      </c>
      <c r="Q488" t="s">
        <v>38</v>
      </c>
      <c r="R488">
        <v>2</v>
      </c>
      <c r="S488" t="s">
        <v>39</v>
      </c>
      <c r="T488" t="s">
        <v>1166</v>
      </c>
      <c r="U488" s="1">
        <v>-23617088</v>
      </c>
      <c r="V488" s="1">
        <v>-46674797</v>
      </c>
      <c r="W488" t="s">
        <v>468</v>
      </c>
      <c r="X488">
        <v>1</v>
      </c>
      <c r="Y488" t="s">
        <v>34</v>
      </c>
    </row>
    <row r="489" spans="1:25" x14ac:dyDescent="0.3">
      <c r="A489">
        <v>488</v>
      </c>
      <c r="B489">
        <v>489</v>
      </c>
      <c r="C489">
        <v>61585865081488</v>
      </c>
      <c r="D489">
        <v>39</v>
      </c>
      <c r="E489" t="s">
        <v>1600</v>
      </c>
      <c r="F489">
        <v>38</v>
      </c>
      <c r="G489" t="s">
        <v>1637</v>
      </c>
      <c r="H489" t="str">
        <f t="shared" si="7"/>
        <v>REDE 39 - BANDEIRA 39 - LOJA 489</v>
      </c>
      <c r="I489">
        <v>2</v>
      </c>
      <c r="J489" t="s">
        <v>1646</v>
      </c>
      <c r="K489">
        <v>3</v>
      </c>
      <c r="L489" t="s">
        <v>768</v>
      </c>
      <c r="M489">
        <v>2</v>
      </c>
      <c r="N489" t="s">
        <v>36</v>
      </c>
      <c r="O489">
        <v>2</v>
      </c>
      <c r="P489" t="s">
        <v>37</v>
      </c>
      <c r="Q489" t="s">
        <v>38</v>
      </c>
      <c r="R489">
        <v>2</v>
      </c>
      <c r="S489" t="s">
        <v>39</v>
      </c>
      <c r="T489" t="s">
        <v>1167</v>
      </c>
      <c r="U489" s="1">
        <v>-23616493</v>
      </c>
      <c r="V489" s="1">
        <v>-46680714</v>
      </c>
      <c r="W489" t="s">
        <v>465</v>
      </c>
      <c r="X489">
        <v>1</v>
      </c>
      <c r="Y489" t="s">
        <v>34</v>
      </c>
    </row>
    <row r="490" spans="1:25" x14ac:dyDescent="0.3">
      <c r="A490">
        <v>489</v>
      </c>
      <c r="B490">
        <v>490</v>
      </c>
      <c r="C490">
        <v>61585865107460</v>
      </c>
      <c r="D490">
        <v>16</v>
      </c>
      <c r="E490" t="s">
        <v>1587</v>
      </c>
      <c r="F490">
        <v>16</v>
      </c>
      <c r="G490" t="s">
        <v>1624</v>
      </c>
      <c r="H490" t="str">
        <f t="shared" si="7"/>
        <v>REDE 16 - BANDEIRA 16 - LOJA 490</v>
      </c>
      <c r="I490">
        <v>2</v>
      </c>
      <c r="J490" t="s">
        <v>1646</v>
      </c>
      <c r="K490">
        <v>3</v>
      </c>
      <c r="L490" t="s">
        <v>1168</v>
      </c>
      <c r="M490">
        <v>2</v>
      </c>
      <c r="N490" t="s">
        <v>36</v>
      </c>
      <c r="O490">
        <v>2</v>
      </c>
      <c r="P490" t="s">
        <v>37</v>
      </c>
      <c r="Q490" t="s">
        <v>38</v>
      </c>
      <c r="R490">
        <v>2</v>
      </c>
      <c r="S490" t="s">
        <v>39</v>
      </c>
      <c r="T490" t="s">
        <v>847</v>
      </c>
      <c r="U490" s="1">
        <v>-23602087</v>
      </c>
      <c r="V490" s="1">
        <v>-46609016</v>
      </c>
      <c r="W490" t="s">
        <v>780</v>
      </c>
      <c r="X490">
        <v>1</v>
      </c>
      <c r="Y490" t="s">
        <v>34</v>
      </c>
    </row>
    <row r="491" spans="1:25" x14ac:dyDescent="0.3">
      <c r="A491">
        <v>490</v>
      </c>
      <c r="B491">
        <v>491</v>
      </c>
      <c r="C491">
        <v>61585865143939</v>
      </c>
      <c r="D491">
        <v>39</v>
      </c>
      <c r="E491" t="s">
        <v>1600</v>
      </c>
      <c r="F491">
        <v>38</v>
      </c>
      <c r="G491" t="s">
        <v>1637</v>
      </c>
      <c r="H491" t="str">
        <f t="shared" si="7"/>
        <v>REDE 39 - BANDEIRA 39 - LOJA 491</v>
      </c>
      <c r="I491">
        <v>2</v>
      </c>
      <c r="J491" t="s">
        <v>1646</v>
      </c>
      <c r="K491">
        <v>3</v>
      </c>
      <c r="L491" t="s">
        <v>1169</v>
      </c>
      <c r="M491">
        <v>2</v>
      </c>
      <c r="N491" t="s">
        <v>36</v>
      </c>
      <c r="O491">
        <v>2</v>
      </c>
      <c r="P491" t="s">
        <v>37</v>
      </c>
      <c r="Q491" t="s">
        <v>38</v>
      </c>
      <c r="R491">
        <v>2</v>
      </c>
      <c r="S491" t="s">
        <v>39</v>
      </c>
      <c r="T491" t="s">
        <v>1170</v>
      </c>
      <c r="U491" s="1">
        <v>-23603199</v>
      </c>
      <c r="V491" s="1">
        <v>-46657056</v>
      </c>
      <c r="W491" t="s">
        <v>423</v>
      </c>
      <c r="X491">
        <v>1</v>
      </c>
      <c r="Y491" t="s">
        <v>34</v>
      </c>
    </row>
    <row r="492" spans="1:25" x14ac:dyDescent="0.3">
      <c r="A492">
        <v>491</v>
      </c>
      <c r="B492">
        <v>492</v>
      </c>
      <c r="C492">
        <v>61585865115803</v>
      </c>
      <c r="D492">
        <v>39</v>
      </c>
      <c r="E492" t="s">
        <v>1600</v>
      </c>
      <c r="F492">
        <v>38</v>
      </c>
      <c r="G492" t="s">
        <v>1637</v>
      </c>
      <c r="H492" t="str">
        <f t="shared" si="7"/>
        <v>REDE 39 - BANDEIRA 39 - LOJA 492</v>
      </c>
      <c r="I492">
        <v>2</v>
      </c>
      <c r="J492" t="s">
        <v>1646</v>
      </c>
      <c r="K492">
        <v>3</v>
      </c>
      <c r="L492" t="s">
        <v>1171</v>
      </c>
      <c r="M492">
        <v>2</v>
      </c>
      <c r="N492" t="s">
        <v>36</v>
      </c>
      <c r="O492">
        <v>2</v>
      </c>
      <c r="P492" t="s">
        <v>37</v>
      </c>
      <c r="Q492" t="s">
        <v>38</v>
      </c>
      <c r="R492">
        <v>2</v>
      </c>
      <c r="S492" t="s">
        <v>39</v>
      </c>
      <c r="T492" t="s">
        <v>682</v>
      </c>
      <c r="U492" s="1">
        <v>-23544601</v>
      </c>
      <c r="V492" s="1">
        <v>-4656636</v>
      </c>
      <c r="W492" t="s">
        <v>683</v>
      </c>
      <c r="X492">
        <v>1</v>
      </c>
      <c r="Y492" t="s">
        <v>34</v>
      </c>
    </row>
    <row r="493" spans="1:25" x14ac:dyDescent="0.3">
      <c r="A493">
        <v>492</v>
      </c>
      <c r="B493">
        <v>493</v>
      </c>
      <c r="C493">
        <v>61585865143505</v>
      </c>
      <c r="D493">
        <v>39</v>
      </c>
      <c r="E493" t="s">
        <v>1600</v>
      </c>
      <c r="F493">
        <v>38</v>
      </c>
      <c r="G493" t="s">
        <v>1637</v>
      </c>
      <c r="H493" t="str">
        <f t="shared" si="7"/>
        <v>REDE 39 - BANDEIRA 39 - LOJA 493</v>
      </c>
      <c r="I493">
        <v>2</v>
      </c>
      <c r="J493" t="s">
        <v>1646</v>
      </c>
      <c r="K493">
        <v>3</v>
      </c>
      <c r="L493" t="s">
        <v>1172</v>
      </c>
      <c r="M493">
        <v>2</v>
      </c>
      <c r="N493" t="s">
        <v>36</v>
      </c>
      <c r="O493">
        <v>2</v>
      </c>
      <c r="P493" t="s">
        <v>37</v>
      </c>
      <c r="Q493" t="s">
        <v>38</v>
      </c>
      <c r="R493">
        <v>2</v>
      </c>
      <c r="S493" t="s">
        <v>39</v>
      </c>
      <c r="T493" t="s">
        <v>1173</v>
      </c>
      <c r="U493" s="1">
        <v>-235472232</v>
      </c>
      <c r="V493" s="1">
        <v>-466551174</v>
      </c>
      <c r="W493" t="s">
        <v>897</v>
      </c>
      <c r="X493">
        <v>1</v>
      </c>
      <c r="Y493" t="s">
        <v>34</v>
      </c>
    </row>
    <row r="494" spans="1:25" x14ac:dyDescent="0.3">
      <c r="A494">
        <v>493</v>
      </c>
      <c r="B494">
        <v>494</v>
      </c>
      <c r="C494">
        <v>61585865133704</v>
      </c>
      <c r="D494">
        <v>39</v>
      </c>
      <c r="E494" t="s">
        <v>1600</v>
      </c>
      <c r="F494">
        <v>38</v>
      </c>
      <c r="G494" t="s">
        <v>1637</v>
      </c>
      <c r="H494" t="str">
        <f t="shared" si="7"/>
        <v>REDE 39 - BANDEIRA 39 - LOJA 494</v>
      </c>
      <c r="I494">
        <v>2</v>
      </c>
      <c r="J494" t="s">
        <v>1646</v>
      </c>
      <c r="K494">
        <v>3</v>
      </c>
      <c r="L494" t="s">
        <v>1174</v>
      </c>
      <c r="M494">
        <v>10</v>
      </c>
      <c r="N494" t="s">
        <v>1078</v>
      </c>
      <c r="O494">
        <v>2</v>
      </c>
      <c r="P494" t="s">
        <v>37</v>
      </c>
      <c r="Q494" t="s">
        <v>38</v>
      </c>
      <c r="R494">
        <v>2</v>
      </c>
      <c r="S494" t="s">
        <v>39</v>
      </c>
      <c r="T494" t="s">
        <v>1175</v>
      </c>
      <c r="U494" s="1">
        <v>-234545707</v>
      </c>
      <c r="V494" s="1">
        <v>-465338936</v>
      </c>
      <c r="W494" t="s">
        <v>1176</v>
      </c>
      <c r="X494">
        <v>1</v>
      </c>
      <c r="Y494" t="s">
        <v>34</v>
      </c>
    </row>
    <row r="495" spans="1:25" x14ac:dyDescent="0.3">
      <c r="A495">
        <v>494</v>
      </c>
      <c r="B495">
        <v>495</v>
      </c>
      <c r="C495">
        <v>61585865186158</v>
      </c>
      <c r="D495">
        <v>39</v>
      </c>
      <c r="E495" t="s">
        <v>1600</v>
      </c>
      <c r="F495">
        <v>38</v>
      </c>
      <c r="G495" t="s">
        <v>1637</v>
      </c>
      <c r="H495" t="str">
        <f t="shared" si="7"/>
        <v>REDE 39 - BANDEIRA 39 - LOJA 495</v>
      </c>
      <c r="I495">
        <v>2</v>
      </c>
      <c r="J495" t="s">
        <v>1646</v>
      </c>
      <c r="K495">
        <v>3</v>
      </c>
      <c r="L495" t="s">
        <v>1177</v>
      </c>
      <c r="M495">
        <v>6</v>
      </c>
      <c r="N495" t="s">
        <v>236</v>
      </c>
      <c r="O495">
        <v>5</v>
      </c>
      <c r="P495" t="s">
        <v>237</v>
      </c>
      <c r="Q495" t="s">
        <v>238</v>
      </c>
      <c r="R495">
        <v>4</v>
      </c>
      <c r="S495" t="s">
        <v>239</v>
      </c>
      <c r="T495" t="s">
        <v>1178</v>
      </c>
      <c r="U495" s="1">
        <v>-37415622</v>
      </c>
      <c r="V495" s="1">
        <v>-385664374</v>
      </c>
      <c r="W495" t="s">
        <v>1179</v>
      </c>
      <c r="X495">
        <v>1</v>
      </c>
      <c r="Y495" t="s">
        <v>34</v>
      </c>
    </row>
    <row r="496" spans="1:25" x14ac:dyDescent="0.3">
      <c r="A496">
        <v>495</v>
      </c>
      <c r="B496">
        <v>496</v>
      </c>
      <c r="C496">
        <v>61585865175709</v>
      </c>
      <c r="D496">
        <v>39</v>
      </c>
      <c r="E496" t="s">
        <v>1600</v>
      </c>
      <c r="F496">
        <v>38</v>
      </c>
      <c r="G496" t="s">
        <v>1637</v>
      </c>
      <c r="H496" t="str">
        <f t="shared" si="7"/>
        <v>REDE 39 - BANDEIRA 39 - LOJA 496</v>
      </c>
      <c r="I496">
        <v>2</v>
      </c>
      <c r="J496" t="s">
        <v>1646</v>
      </c>
      <c r="K496">
        <v>3</v>
      </c>
      <c r="L496" t="s">
        <v>1180</v>
      </c>
      <c r="M496">
        <v>6</v>
      </c>
      <c r="N496" t="s">
        <v>236</v>
      </c>
      <c r="O496">
        <v>5</v>
      </c>
      <c r="P496" t="s">
        <v>237</v>
      </c>
      <c r="Q496" t="s">
        <v>238</v>
      </c>
      <c r="R496">
        <v>4</v>
      </c>
      <c r="S496" t="s">
        <v>239</v>
      </c>
      <c r="T496" t="s">
        <v>1181</v>
      </c>
      <c r="U496" s="1">
        <v>-3752452</v>
      </c>
      <c r="V496" s="1">
        <v>-38508788</v>
      </c>
      <c r="W496" t="s">
        <v>1182</v>
      </c>
      <c r="X496">
        <v>1</v>
      </c>
      <c r="Y496" t="s">
        <v>34</v>
      </c>
    </row>
    <row r="497" spans="1:25" x14ac:dyDescent="0.3">
      <c r="A497">
        <v>496</v>
      </c>
      <c r="B497">
        <v>497</v>
      </c>
      <c r="C497">
        <v>61585865229302</v>
      </c>
      <c r="D497">
        <v>39</v>
      </c>
      <c r="E497" t="s">
        <v>1600</v>
      </c>
      <c r="F497">
        <v>38</v>
      </c>
      <c r="G497" t="s">
        <v>1637</v>
      </c>
      <c r="H497" t="str">
        <f t="shared" si="7"/>
        <v>REDE 39 - BANDEIRA 39 - LOJA 497</v>
      </c>
      <c r="I497">
        <v>2</v>
      </c>
      <c r="J497" t="s">
        <v>1646</v>
      </c>
      <c r="K497">
        <v>3</v>
      </c>
      <c r="L497" t="s">
        <v>1183</v>
      </c>
      <c r="M497">
        <v>6</v>
      </c>
      <c r="N497" t="s">
        <v>236</v>
      </c>
      <c r="O497">
        <v>5</v>
      </c>
      <c r="P497" t="s">
        <v>237</v>
      </c>
      <c r="Q497" t="s">
        <v>238</v>
      </c>
      <c r="R497">
        <v>4</v>
      </c>
      <c r="S497" t="s">
        <v>239</v>
      </c>
      <c r="T497" t="s">
        <v>1184</v>
      </c>
      <c r="U497" s="1">
        <v>-37414808</v>
      </c>
      <c r="V497" s="1">
        <v>-385159079</v>
      </c>
      <c r="W497" t="s">
        <v>1185</v>
      </c>
      <c r="X497">
        <v>1</v>
      </c>
      <c r="Y497" t="s">
        <v>34</v>
      </c>
    </row>
    <row r="498" spans="1:25" x14ac:dyDescent="0.3">
      <c r="A498">
        <v>497</v>
      </c>
      <c r="B498">
        <v>498</v>
      </c>
      <c r="C498">
        <v>61585865253289</v>
      </c>
      <c r="D498">
        <v>39</v>
      </c>
      <c r="E498" t="s">
        <v>1600</v>
      </c>
      <c r="F498">
        <v>38</v>
      </c>
      <c r="G498" t="s">
        <v>1637</v>
      </c>
      <c r="H498" t="str">
        <f t="shared" si="7"/>
        <v>REDE 39 - BANDEIRA 39 - LOJA 498</v>
      </c>
      <c r="I498">
        <v>2</v>
      </c>
      <c r="J498" t="s">
        <v>1646</v>
      </c>
      <c r="K498">
        <v>3</v>
      </c>
      <c r="L498" t="s">
        <v>1186</v>
      </c>
      <c r="M498">
        <v>6</v>
      </c>
      <c r="N498" t="s">
        <v>236</v>
      </c>
      <c r="O498">
        <v>5</v>
      </c>
      <c r="P498" t="s">
        <v>237</v>
      </c>
      <c r="Q498" t="s">
        <v>238</v>
      </c>
      <c r="R498">
        <v>4</v>
      </c>
      <c r="S498" t="s">
        <v>239</v>
      </c>
      <c r="T498" t="s">
        <v>1187</v>
      </c>
      <c r="U498" s="1">
        <v>-37612216</v>
      </c>
      <c r="V498" s="1">
        <v>-385471984</v>
      </c>
      <c r="W498" t="s">
        <v>1188</v>
      </c>
      <c r="X498">
        <v>1</v>
      </c>
      <c r="Y498" t="s">
        <v>34</v>
      </c>
    </row>
    <row r="499" spans="1:25" x14ac:dyDescent="0.3">
      <c r="A499">
        <v>498</v>
      </c>
      <c r="B499">
        <v>499</v>
      </c>
      <c r="C499">
        <v>61585865241191</v>
      </c>
      <c r="D499">
        <v>39</v>
      </c>
      <c r="E499" t="s">
        <v>1600</v>
      </c>
      <c r="F499">
        <v>38</v>
      </c>
      <c r="G499" t="s">
        <v>1637</v>
      </c>
      <c r="H499" t="str">
        <f t="shared" si="7"/>
        <v>REDE 39 - BANDEIRA 39 - LOJA 499</v>
      </c>
      <c r="I499">
        <v>2</v>
      </c>
      <c r="J499" t="s">
        <v>1646</v>
      </c>
      <c r="K499">
        <v>3</v>
      </c>
      <c r="L499" t="s">
        <v>1189</v>
      </c>
      <c r="M499">
        <v>7</v>
      </c>
      <c r="N499" t="s">
        <v>294</v>
      </c>
      <c r="O499">
        <v>5</v>
      </c>
      <c r="P499" t="s">
        <v>237</v>
      </c>
      <c r="Q499" t="s">
        <v>238</v>
      </c>
      <c r="R499">
        <v>4</v>
      </c>
      <c r="S499" t="s">
        <v>239</v>
      </c>
      <c r="T499" t="s">
        <v>1190</v>
      </c>
      <c r="U499" s="1">
        <v>-38821168</v>
      </c>
      <c r="V499" s="1">
        <v>-384658877</v>
      </c>
      <c r="W499" t="s">
        <v>299</v>
      </c>
      <c r="X499">
        <v>1</v>
      </c>
      <c r="Y499" t="s">
        <v>34</v>
      </c>
    </row>
    <row r="500" spans="1:25" x14ac:dyDescent="0.3">
      <c r="A500">
        <v>499</v>
      </c>
      <c r="B500">
        <v>500</v>
      </c>
      <c r="C500">
        <v>61585865327665</v>
      </c>
      <c r="D500">
        <v>39</v>
      </c>
      <c r="E500" t="s">
        <v>1600</v>
      </c>
      <c r="F500">
        <v>38</v>
      </c>
      <c r="G500" t="s">
        <v>1637</v>
      </c>
      <c r="H500" t="str">
        <f t="shared" si="7"/>
        <v>REDE 39 - BANDEIRA 39 - LOJA 500</v>
      </c>
      <c r="I500">
        <v>2</v>
      </c>
      <c r="J500" t="s">
        <v>1646</v>
      </c>
      <c r="K500">
        <v>3</v>
      </c>
      <c r="L500" t="s">
        <v>1191</v>
      </c>
      <c r="M500">
        <v>6</v>
      </c>
      <c r="N500" t="s">
        <v>236</v>
      </c>
      <c r="O500">
        <v>5</v>
      </c>
      <c r="P500" t="s">
        <v>237</v>
      </c>
      <c r="Q500" t="s">
        <v>238</v>
      </c>
      <c r="R500">
        <v>4</v>
      </c>
      <c r="S500" t="s">
        <v>239</v>
      </c>
      <c r="T500">
        <v>60824010</v>
      </c>
      <c r="U500" s="1">
        <v>-38072568</v>
      </c>
      <c r="V500" s="1">
        <v>-38497915</v>
      </c>
      <c r="W500" t="s">
        <v>1192</v>
      </c>
      <c r="X500">
        <v>1</v>
      </c>
      <c r="Y500" t="s">
        <v>34</v>
      </c>
    </row>
    <row r="501" spans="1:25" x14ac:dyDescent="0.3">
      <c r="A501">
        <v>500</v>
      </c>
      <c r="B501">
        <v>501</v>
      </c>
      <c r="C501">
        <v>884196000205</v>
      </c>
      <c r="D501">
        <v>19</v>
      </c>
      <c r="E501" t="s">
        <v>1590</v>
      </c>
      <c r="F501">
        <v>19</v>
      </c>
      <c r="G501" t="s">
        <v>1627</v>
      </c>
      <c r="H501" t="str">
        <f t="shared" si="7"/>
        <v>REDE 19 - BANDEIRA 19 - LOJA 501</v>
      </c>
      <c r="I501">
        <v>1</v>
      </c>
      <c r="J501" t="s">
        <v>26</v>
      </c>
      <c r="K501">
        <v>1</v>
      </c>
      <c r="L501" t="s">
        <v>1193</v>
      </c>
      <c r="M501">
        <v>2</v>
      </c>
      <c r="N501" t="s">
        <v>36</v>
      </c>
      <c r="O501">
        <v>2</v>
      </c>
      <c r="P501" t="s">
        <v>37</v>
      </c>
      <c r="Q501" t="s">
        <v>38</v>
      </c>
      <c r="R501">
        <v>2</v>
      </c>
      <c r="S501" t="s">
        <v>39</v>
      </c>
      <c r="T501">
        <v>5020000</v>
      </c>
      <c r="U501" s="1">
        <v>-235311757</v>
      </c>
      <c r="V501" s="1">
        <v>-466813049</v>
      </c>
      <c r="W501" t="s">
        <v>379</v>
      </c>
      <c r="X501">
        <v>1</v>
      </c>
      <c r="Y501" t="s">
        <v>34</v>
      </c>
    </row>
    <row r="502" spans="1:25" x14ac:dyDescent="0.3">
      <c r="A502">
        <v>501</v>
      </c>
      <c r="B502">
        <v>502</v>
      </c>
      <c r="C502">
        <v>49635562000109</v>
      </c>
      <c r="D502">
        <v>3</v>
      </c>
      <c r="E502" t="s">
        <v>1574</v>
      </c>
      <c r="F502">
        <v>3</v>
      </c>
      <c r="G502" t="s">
        <v>1611</v>
      </c>
      <c r="H502" t="str">
        <f t="shared" si="7"/>
        <v>REDE 3 - BANDEIRA 3 - LOJA 502</v>
      </c>
      <c r="I502">
        <v>1</v>
      </c>
      <c r="J502" t="s">
        <v>26</v>
      </c>
      <c r="K502">
        <v>1</v>
      </c>
      <c r="L502" t="s">
        <v>1194</v>
      </c>
      <c r="M502">
        <v>4</v>
      </c>
      <c r="N502" t="s">
        <v>60</v>
      </c>
      <c r="O502">
        <v>4</v>
      </c>
      <c r="P502" t="s">
        <v>61</v>
      </c>
      <c r="Q502" t="s">
        <v>62</v>
      </c>
      <c r="R502">
        <v>3</v>
      </c>
      <c r="S502" t="s">
        <v>63</v>
      </c>
      <c r="T502">
        <v>71608000</v>
      </c>
      <c r="U502" s="1">
        <v>-1.58699567639757E+16</v>
      </c>
      <c r="V502" s="1">
        <v>-4.79209685325622E+16</v>
      </c>
      <c r="W502" t="s">
        <v>98</v>
      </c>
      <c r="X502">
        <v>1</v>
      </c>
      <c r="Y502" t="s">
        <v>34</v>
      </c>
    </row>
    <row r="503" spans="1:25" x14ac:dyDescent="0.3">
      <c r="A503">
        <v>502</v>
      </c>
      <c r="B503">
        <v>503</v>
      </c>
      <c r="C503">
        <v>26519734000175</v>
      </c>
      <c r="D503">
        <v>3</v>
      </c>
      <c r="E503" t="s">
        <v>1574</v>
      </c>
      <c r="F503">
        <v>3</v>
      </c>
      <c r="G503" t="s">
        <v>1611</v>
      </c>
      <c r="H503" t="str">
        <f t="shared" si="7"/>
        <v>REDE 3 - BANDEIRA 3 - LOJA 503</v>
      </c>
      <c r="I503">
        <v>1</v>
      </c>
      <c r="J503" t="s">
        <v>26</v>
      </c>
      <c r="K503">
        <v>1</v>
      </c>
      <c r="L503" t="s">
        <v>1195</v>
      </c>
      <c r="M503">
        <v>4</v>
      </c>
      <c r="N503" t="s">
        <v>60</v>
      </c>
      <c r="O503">
        <v>4</v>
      </c>
      <c r="P503" t="s">
        <v>61</v>
      </c>
      <c r="Q503" t="s">
        <v>62</v>
      </c>
      <c r="R503">
        <v>3</v>
      </c>
      <c r="S503" t="s">
        <v>63</v>
      </c>
      <c r="T503">
        <v>72862303</v>
      </c>
      <c r="U503" s="1">
        <v>-1.60835388718901E+16</v>
      </c>
      <c r="V503" s="1">
        <v>-4806630115592620</v>
      </c>
      <c r="W503" t="s">
        <v>1196</v>
      </c>
      <c r="X503">
        <v>1</v>
      </c>
      <c r="Y503" t="s">
        <v>34</v>
      </c>
    </row>
    <row r="504" spans="1:25" x14ac:dyDescent="0.3">
      <c r="A504">
        <v>503</v>
      </c>
      <c r="B504">
        <v>504</v>
      </c>
      <c r="C504">
        <v>30000300000131</v>
      </c>
      <c r="D504">
        <v>19</v>
      </c>
      <c r="E504" t="s">
        <v>1590</v>
      </c>
      <c r="F504">
        <v>19</v>
      </c>
      <c r="G504" t="s">
        <v>1627</v>
      </c>
      <c r="H504" t="str">
        <f t="shared" si="7"/>
        <v>REDE 19 - BANDEIRA 19 - LOJA 504</v>
      </c>
      <c r="I504">
        <v>1</v>
      </c>
      <c r="J504" t="s">
        <v>26</v>
      </c>
      <c r="K504">
        <v>2</v>
      </c>
      <c r="L504" t="s">
        <v>1197</v>
      </c>
      <c r="M504">
        <v>6</v>
      </c>
      <c r="N504" t="s">
        <v>236</v>
      </c>
      <c r="O504">
        <v>5</v>
      </c>
      <c r="P504" t="s">
        <v>237</v>
      </c>
      <c r="Q504" t="s">
        <v>238</v>
      </c>
      <c r="R504">
        <v>4</v>
      </c>
      <c r="S504" t="s">
        <v>239</v>
      </c>
      <c r="T504">
        <v>60822142</v>
      </c>
      <c r="U504" s="1">
        <v>-3813127710736850</v>
      </c>
      <c r="V504" s="1">
        <v>-3.8480389869401104E+16</v>
      </c>
      <c r="W504" t="s">
        <v>1198</v>
      </c>
      <c r="X504">
        <v>1</v>
      </c>
      <c r="Y504" t="s">
        <v>34</v>
      </c>
    </row>
    <row r="505" spans="1:25" x14ac:dyDescent="0.3">
      <c r="A505">
        <v>504</v>
      </c>
      <c r="B505">
        <v>505</v>
      </c>
      <c r="C505">
        <v>9506351000143</v>
      </c>
      <c r="D505">
        <v>19</v>
      </c>
      <c r="E505" t="s">
        <v>1590</v>
      </c>
      <c r="F505">
        <v>19</v>
      </c>
      <c r="G505" t="s">
        <v>1627</v>
      </c>
      <c r="H505" t="str">
        <f t="shared" si="7"/>
        <v>REDE 19 - BANDEIRA 19 - LOJA 505</v>
      </c>
      <c r="I505">
        <v>1</v>
      </c>
      <c r="J505" t="s">
        <v>26</v>
      </c>
      <c r="K505">
        <v>2</v>
      </c>
      <c r="L505" t="s">
        <v>1199</v>
      </c>
      <c r="M505">
        <v>2</v>
      </c>
      <c r="N505" t="s">
        <v>36</v>
      </c>
      <c r="O505">
        <v>2</v>
      </c>
      <c r="P505" t="s">
        <v>37</v>
      </c>
      <c r="Q505" t="s">
        <v>38</v>
      </c>
      <c r="R505">
        <v>2</v>
      </c>
      <c r="S505" t="s">
        <v>39</v>
      </c>
      <c r="T505">
        <v>3007000</v>
      </c>
      <c r="U505" s="1">
        <v>-235427783</v>
      </c>
      <c r="V505" s="1">
        <v>-466267103</v>
      </c>
      <c r="W505" t="s">
        <v>559</v>
      </c>
      <c r="X505">
        <v>1</v>
      </c>
      <c r="Y505" t="s">
        <v>34</v>
      </c>
    </row>
    <row r="506" spans="1:25" x14ac:dyDescent="0.3">
      <c r="A506">
        <v>505</v>
      </c>
      <c r="B506">
        <v>506</v>
      </c>
      <c r="C506">
        <v>22587078000197</v>
      </c>
      <c r="D506">
        <v>19</v>
      </c>
      <c r="E506" t="s">
        <v>1590</v>
      </c>
      <c r="F506">
        <v>19</v>
      </c>
      <c r="G506" t="s">
        <v>1627</v>
      </c>
      <c r="H506" t="str">
        <f t="shared" si="7"/>
        <v>REDE 19 - BANDEIRA 19 - LOJA 506</v>
      </c>
      <c r="I506">
        <v>1</v>
      </c>
      <c r="J506" t="s">
        <v>26</v>
      </c>
      <c r="K506">
        <v>2</v>
      </c>
      <c r="L506" t="s">
        <v>1200</v>
      </c>
      <c r="M506">
        <v>3</v>
      </c>
      <c r="N506" t="s">
        <v>43</v>
      </c>
      <c r="O506">
        <v>3</v>
      </c>
      <c r="P506" t="s">
        <v>44</v>
      </c>
      <c r="Q506" t="s">
        <v>43</v>
      </c>
      <c r="R506">
        <v>2</v>
      </c>
      <c r="S506" t="s">
        <v>39</v>
      </c>
      <c r="T506">
        <v>21830264</v>
      </c>
      <c r="U506" s="1">
        <v>-228814076</v>
      </c>
      <c r="V506" s="1">
        <v>-4349913</v>
      </c>
      <c r="W506" t="s">
        <v>1070</v>
      </c>
      <c r="X506">
        <v>1</v>
      </c>
      <c r="Y506" t="s">
        <v>34</v>
      </c>
    </row>
    <row r="507" spans="1:25" x14ac:dyDescent="0.3">
      <c r="A507">
        <v>506</v>
      </c>
      <c r="B507">
        <v>507</v>
      </c>
      <c r="C507">
        <v>50260791000167</v>
      </c>
      <c r="D507">
        <v>3</v>
      </c>
      <c r="E507" t="s">
        <v>1574</v>
      </c>
      <c r="F507">
        <v>3</v>
      </c>
      <c r="G507" t="s">
        <v>1611</v>
      </c>
      <c r="H507" t="str">
        <f t="shared" si="7"/>
        <v>REDE 3 - BANDEIRA 3 - LOJA 507</v>
      </c>
      <c r="I507">
        <v>1</v>
      </c>
      <c r="J507" t="s">
        <v>26</v>
      </c>
      <c r="K507">
        <v>1</v>
      </c>
      <c r="L507" t="s">
        <v>1201</v>
      </c>
      <c r="M507">
        <v>4</v>
      </c>
      <c r="N507" t="s">
        <v>60</v>
      </c>
      <c r="O507">
        <v>4</v>
      </c>
      <c r="P507" t="s">
        <v>61</v>
      </c>
      <c r="Q507" t="s">
        <v>62</v>
      </c>
      <c r="R507">
        <v>3</v>
      </c>
      <c r="S507" t="s">
        <v>63</v>
      </c>
      <c r="T507">
        <v>70307902</v>
      </c>
      <c r="U507" s="1">
        <v>-1.57966219849311E+16</v>
      </c>
      <c r="V507" s="1">
        <v>-4789211149659620</v>
      </c>
      <c r="W507" t="s">
        <v>83</v>
      </c>
      <c r="X507">
        <v>1</v>
      </c>
      <c r="Y507" t="s">
        <v>34</v>
      </c>
    </row>
    <row r="508" spans="1:25" x14ac:dyDescent="0.3">
      <c r="A508">
        <v>507</v>
      </c>
      <c r="B508">
        <v>508</v>
      </c>
      <c r="C508">
        <v>41313415000283</v>
      </c>
      <c r="D508">
        <v>19</v>
      </c>
      <c r="E508" t="s">
        <v>1590</v>
      </c>
      <c r="F508">
        <v>19</v>
      </c>
      <c r="G508" t="s">
        <v>1627</v>
      </c>
      <c r="H508" t="str">
        <f t="shared" si="7"/>
        <v>REDE 19 - BANDEIRA 19 - LOJA 508</v>
      </c>
      <c r="I508">
        <v>1</v>
      </c>
      <c r="J508" t="s">
        <v>26</v>
      </c>
      <c r="K508">
        <v>2</v>
      </c>
      <c r="L508" t="s">
        <v>1202</v>
      </c>
      <c r="M508">
        <v>4</v>
      </c>
      <c r="N508" t="s">
        <v>60</v>
      </c>
      <c r="O508">
        <v>4</v>
      </c>
      <c r="P508" t="s">
        <v>61</v>
      </c>
      <c r="Q508" t="s">
        <v>62</v>
      </c>
      <c r="R508">
        <v>3</v>
      </c>
      <c r="S508" t="s">
        <v>63</v>
      </c>
      <c r="T508">
        <v>70610480</v>
      </c>
      <c r="U508" s="1">
        <v>-1.5797149066295E+16</v>
      </c>
      <c r="V508" s="1">
        <v>-4791646169654770</v>
      </c>
      <c r="W508" t="s">
        <v>1203</v>
      </c>
      <c r="X508">
        <v>1</v>
      </c>
      <c r="Y508" t="s">
        <v>34</v>
      </c>
    </row>
    <row r="509" spans="1:25" x14ac:dyDescent="0.3">
      <c r="A509">
        <v>508</v>
      </c>
      <c r="B509">
        <v>509</v>
      </c>
      <c r="C509">
        <v>45941809000156</v>
      </c>
      <c r="D509">
        <v>3</v>
      </c>
      <c r="E509" t="s">
        <v>1574</v>
      </c>
      <c r="F509">
        <v>3</v>
      </c>
      <c r="G509" t="s">
        <v>1611</v>
      </c>
      <c r="H509" t="str">
        <f t="shared" si="7"/>
        <v>REDE 3 - BANDEIRA 3 - LOJA 509</v>
      </c>
      <c r="I509">
        <v>1</v>
      </c>
      <c r="J509" t="s">
        <v>26</v>
      </c>
      <c r="K509">
        <v>1</v>
      </c>
      <c r="L509" t="s">
        <v>1204</v>
      </c>
      <c r="M509">
        <v>4</v>
      </c>
      <c r="N509" t="s">
        <v>60</v>
      </c>
      <c r="O509">
        <v>4</v>
      </c>
      <c r="P509" t="s">
        <v>61</v>
      </c>
      <c r="Q509" t="s">
        <v>62</v>
      </c>
      <c r="R509">
        <v>3</v>
      </c>
      <c r="S509" t="s">
        <v>63</v>
      </c>
      <c r="T509">
        <v>70333900</v>
      </c>
      <c r="U509" s="1">
        <v>-1579604497845330</v>
      </c>
      <c r="V509" s="1">
        <v>-4789262860941650</v>
      </c>
      <c r="W509" t="s">
        <v>83</v>
      </c>
      <c r="X509">
        <v>1</v>
      </c>
      <c r="Y509" t="s">
        <v>34</v>
      </c>
    </row>
    <row r="510" spans="1:25" x14ac:dyDescent="0.3">
      <c r="A510">
        <v>509</v>
      </c>
      <c r="B510">
        <v>510</v>
      </c>
      <c r="C510">
        <v>38016159000258</v>
      </c>
      <c r="D510">
        <v>36</v>
      </c>
      <c r="E510" t="s">
        <v>1605</v>
      </c>
      <c r="F510">
        <v>36</v>
      </c>
      <c r="G510" t="s">
        <v>1642</v>
      </c>
      <c r="H510" t="str">
        <f t="shared" si="7"/>
        <v>REDE 36 - BANDEIRA 36 - LOJA 510</v>
      </c>
      <c r="I510">
        <v>3</v>
      </c>
      <c r="J510" t="s">
        <v>1073</v>
      </c>
      <c r="K510">
        <v>4</v>
      </c>
      <c r="L510" t="s">
        <v>1205</v>
      </c>
      <c r="M510">
        <v>2</v>
      </c>
      <c r="N510" t="s">
        <v>36</v>
      </c>
      <c r="O510">
        <v>2</v>
      </c>
      <c r="P510" t="s">
        <v>37</v>
      </c>
      <c r="Q510" t="s">
        <v>38</v>
      </c>
      <c r="R510">
        <v>2</v>
      </c>
      <c r="S510" t="s">
        <v>39</v>
      </c>
      <c r="T510">
        <v>4544000</v>
      </c>
      <c r="U510" s="1">
        <v>-235912359</v>
      </c>
      <c r="V510" s="1">
        <v>-466754759</v>
      </c>
      <c r="W510" t="s">
        <v>157</v>
      </c>
      <c r="X510">
        <v>1</v>
      </c>
      <c r="Y510" t="s">
        <v>34</v>
      </c>
    </row>
    <row r="511" spans="1:25" x14ac:dyDescent="0.3">
      <c r="A511">
        <v>510</v>
      </c>
      <c r="B511">
        <v>511</v>
      </c>
      <c r="C511">
        <v>38016159000762</v>
      </c>
      <c r="D511">
        <v>36</v>
      </c>
      <c r="E511" t="s">
        <v>1605</v>
      </c>
      <c r="F511">
        <v>36</v>
      </c>
      <c r="G511" t="s">
        <v>1642</v>
      </c>
      <c r="H511" t="str">
        <f t="shared" si="7"/>
        <v>REDE 36 - BANDEIRA 36 - LOJA 511</v>
      </c>
      <c r="I511">
        <v>3</v>
      </c>
      <c r="J511" t="s">
        <v>1073</v>
      </c>
      <c r="K511">
        <v>4</v>
      </c>
      <c r="L511" t="s">
        <v>1206</v>
      </c>
      <c r="M511">
        <v>2</v>
      </c>
      <c r="N511" t="s">
        <v>36</v>
      </c>
      <c r="O511">
        <v>2</v>
      </c>
      <c r="P511" t="s">
        <v>37</v>
      </c>
      <c r="Q511" t="s">
        <v>38</v>
      </c>
      <c r="R511">
        <v>2</v>
      </c>
      <c r="S511" t="s">
        <v>39</v>
      </c>
      <c r="T511">
        <v>5420002</v>
      </c>
      <c r="U511" s="1">
        <v>-235580075</v>
      </c>
      <c r="V511" s="1">
        <v>-466995699</v>
      </c>
      <c r="W511" t="s">
        <v>334</v>
      </c>
      <c r="X511">
        <v>1</v>
      </c>
      <c r="Y511" t="s">
        <v>34</v>
      </c>
    </row>
    <row r="512" spans="1:25" x14ac:dyDescent="0.3">
      <c r="A512">
        <v>511</v>
      </c>
      <c r="B512">
        <v>512</v>
      </c>
      <c r="C512">
        <v>38016159001220</v>
      </c>
      <c r="D512">
        <v>36</v>
      </c>
      <c r="E512" t="s">
        <v>1605</v>
      </c>
      <c r="F512">
        <v>36</v>
      </c>
      <c r="G512" t="s">
        <v>1642</v>
      </c>
      <c r="H512" t="str">
        <f t="shared" si="7"/>
        <v>REDE 36 - BANDEIRA 36 - LOJA 512</v>
      </c>
      <c r="I512">
        <v>3</v>
      </c>
      <c r="J512" t="s">
        <v>1073</v>
      </c>
      <c r="K512">
        <v>4</v>
      </c>
      <c r="L512" t="s">
        <v>1207</v>
      </c>
      <c r="M512">
        <v>2</v>
      </c>
      <c r="N512" t="s">
        <v>36</v>
      </c>
      <c r="O512">
        <v>2</v>
      </c>
      <c r="P512" t="s">
        <v>37</v>
      </c>
      <c r="Q512" t="s">
        <v>38</v>
      </c>
      <c r="R512">
        <v>2</v>
      </c>
      <c r="S512" t="s">
        <v>39</v>
      </c>
      <c r="T512">
        <v>1140060</v>
      </c>
      <c r="U512" s="1">
        <v>-235221107</v>
      </c>
      <c r="V512" s="1">
        <v>-4667891849999990</v>
      </c>
      <c r="W512" t="s">
        <v>1208</v>
      </c>
      <c r="X512">
        <v>1</v>
      </c>
      <c r="Y512" t="s">
        <v>34</v>
      </c>
    </row>
    <row r="513" spans="1:25" x14ac:dyDescent="0.3">
      <c r="A513">
        <v>512</v>
      </c>
      <c r="B513">
        <v>513</v>
      </c>
      <c r="C513">
        <v>38016159000177</v>
      </c>
      <c r="D513">
        <v>36</v>
      </c>
      <c r="E513" t="s">
        <v>1605</v>
      </c>
      <c r="F513">
        <v>36</v>
      </c>
      <c r="G513" t="s">
        <v>1642</v>
      </c>
      <c r="H513" t="str">
        <f t="shared" si="7"/>
        <v>REDE 36 - BANDEIRA 36 - LOJA 513</v>
      </c>
      <c r="I513">
        <v>3</v>
      </c>
      <c r="J513" t="s">
        <v>1073</v>
      </c>
      <c r="K513">
        <v>4</v>
      </c>
      <c r="L513" t="s">
        <v>1209</v>
      </c>
      <c r="M513">
        <v>2</v>
      </c>
      <c r="N513" t="s">
        <v>36</v>
      </c>
      <c r="O513">
        <v>2</v>
      </c>
      <c r="P513" t="s">
        <v>37</v>
      </c>
      <c r="Q513" t="s">
        <v>38</v>
      </c>
      <c r="R513">
        <v>2</v>
      </c>
      <c r="S513" t="s">
        <v>39</v>
      </c>
      <c r="T513">
        <v>1401002</v>
      </c>
      <c r="U513" s="1">
        <v>-235819743</v>
      </c>
      <c r="V513" s="1">
        <v>-466658755</v>
      </c>
      <c r="W513" t="s">
        <v>163</v>
      </c>
      <c r="X513">
        <v>1</v>
      </c>
      <c r="Y513" t="s">
        <v>34</v>
      </c>
    </row>
    <row r="514" spans="1:25" x14ac:dyDescent="0.3">
      <c r="A514">
        <v>513</v>
      </c>
      <c r="B514">
        <v>514</v>
      </c>
      <c r="C514">
        <v>45543915001404</v>
      </c>
      <c r="D514">
        <v>36</v>
      </c>
      <c r="E514" t="s">
        <v>1605</v>
      </c>
      <c r="F514">
        <v>36</v>
      </c>
      <c r="G514" t="s">
        <v>1642</v>
      </c>
      <c r="H514" t="str">
        <f t="shared" si="7"/>
        <v>REDE 36 - BANDEIRA 36 - LOJA 514</v>
      </c>
      <c r="I514">
        <v>3</v>
      </c>
      <c r="J514" t="s">
        <v>1073</v>
      </c>
      <c r="K514">
        <v>4</v>
      </c>
      <c r="L514" t="s">
        <v>1210</v>
      </c>
      <c r="M514">
        <v>3</v>
      </c>
      <c r="N514" t="s">
        <v>43</v>
      </c>
      <c r="O514">
        <v>3</v>
      </c>
      <c r="P514" t="s">
        <v>44</v>
      </c>
      <c r="Q514" t="s">
        <v>43</v>
      </c>
      <c r="R514">
        <v>2</v>
      </c>
      <c r="S514" t="s">
        <v>39</v>
      </c>
      <c r="T514" t="s">
        <v>1211</v>
      </c>
      <c r="U514" s="1">
        <v>-228853133</v>
      </c>
      <c r="V514" s="1">
        <v>-432823964</v>
      </c>
      <c r="W514" t="s">
        <v>1212</v>
      </c>
      <c r="X514">
        <v>1</v>
      </c>
      <c r="Y514" t="s">
        <v>34</v>
      </c>
    </row>
    <row r="515" spans="1:25" x14ac:dyDescent="0.3">
      <c r="A515">
        <v>514</v>
      </c>
      <c r="B515">
        <v>515</v>
      </c>
      <c r="C515">
        <v>38016159000339</v>
      </c>
      <c r="D515">
        <v>36</v>
      </c>
      <c r="E515" t="s">
        <v>1605</v>
      </c>
      <c r="F515">
        <v>36</v>
      </c>
      <c r="G515" t="s">
        <v>1642</v>
      </c>
      <c r="H515" t="str">
        <f t="shared" ref="H515:H578" si="8">G515 &amp; " - "&amp; E515 &amp;" - LOJA " &amp;B515</f>
        <v>REDE 36 - BANDEIRA 36 - LOJA 515</v>
      </c>
      <c r="I515">
        <v>3</v>
      </c>
      <c r="J515" t="s">
        <v>1073</v>
      </c>
      <c r="K515">
        <v>4</v>
      </c>
      <c r="L515" t="s">
        <v>513</v>
      </c>
      <c r="M515">
        <v>2</v>
      </c>
      <c r="N515" t="s">
        <v>36</v>
      </c>
      <c r="O515">
        <v>2</v>
      </c>
      <c r="P515" t="s">
        <v>37</v>
      </c>
      <c r="Q515" t="s">
        <v>38</v>
      </c>
      <c r="R515">
        <v>2</v>
      </c>
      <c r="S515" t="s">
        <v>39</v>
      </c>
      <c r="T515">
        <v>4533014</v>
      </c>
      <c r="U515" s="1">
        <v>-235862786</v>
      </c>
      <c r="V515" s="1">
        <v>-466868496</v>
      </c>
      <c r="W515" t="s">
        <v>516</v>
      </c>
      <c r="X515">
        <v>1</v>
      </c>
      <c r="Y515" t="s">
        <v>34</v>
      </c>
    </row>
    <row r="516" spans="1:25" x14ac:dyDescent="0.3">
      <c r="A516">
        <v>515</v>
      </c>
      <c r="B516">
        <v>516</v>
      </c>
      <c r="C516">
        <v>50709531000126</v>
      </c>
      <c r="D516">
        <v>19</v>
      </c>
      <c r="E516" t="s">
        <v>1590</v>
      </c>
      <c r="F516">
        <v>19</v>
      </c>
      <c r="G516" t="s">
        <v>1627</v>
      </c>
      <c r="H516" t="str">
        <f t="shared" si="8"/>
        <v>REDE 19 - BANDEIRA 19 - LOJA 516</v>
      </c>
      <c r="I516">
        <v>1</v>
      </c>
      <c r="J516" t="s">
        <v>26</v>
      </c>
      <c r="K516">
        <v>2</v>
      </c>
      <c r="L516" t="s">
        <v>1213</v>
      </c>
      <c r="M516">
        <v>4</v>
      </c>
      <c r="N516" t="s">
        <v>60</v>
      </c>
      <c r="O516">
        <v>4</v>
      </c>
      <c r="P516" t="s">
        <v>61</v>
      </c>
      <c r="Q516" t="s">
        <v>62</v>
      </c>
      <c r="R516">
        <v>3</v>
      </c>
      <c r="S516" t="s">
        <v>63</v>
      </c>
      <c r="T516">
        <v>73015602</v>
      </c>
      <c r="U516" s="1">
        <v>-1565241466605060</v>
      </c>
      <c r="V516" s="1">
        <v>-4.7789081826629904E+16</v>
      </c>
      <c r="W516" t="s">
        <v>189</v>
      </c>
      <c r="X516">
        <v>1</v>
      </c>
      <c r="Y516" t="s">
        <v>34</v>
      </c>
    </row>
    <row r="517" spans="1:25" x14ac:dyDescent="0.3">
      <c r="A517">
        <v>516</v>
      </c>
      <c r="B517">
        <v>517</v>
      </c>
      <c r="C517">
        <v>50855795000198</v>
      </c>
      <c r="D517">
        <v>3</v>
      </c>
      <c r="E517" t="s">
        <v>1574</v>
      </c>
      <c r="F517">
        <v>3</v>
      </c>
      <c r="G517" t="s">
        <v>1611</v>
      </c>
      <c r="H517" t="str">
        <f t="shared" si="8"/>
        <v>REDE 3 - BANDEIRA 3 - LOJA 517</v>
      </c>
      <c r="I517">
        <v>1</v>
      </c>
      <c r="J517" t="s">
        <v>26</v>
      </c>
      <c r="K517">
        <v>1</v>
      </c>
      <c r="L517" t="s">
        <v>1214</v>
      </c>
      <c r="M517">
        <v>4</v>
      </c>
      <c r="N517" t="s">
        <v>60</v>
      </c>
      <c r="O517">
        <v>4</v>
      </c>
      <c r="P517" t="s">
        <v>61</v>
      </c>
      <c r="Q517" t="s">
        <v>62</v>
      </c>
      <c r="R517">
        <v>3</v>
      </c>
      <c r="S517" t="s">
        <v>63</v>
      </c>
      <c r="T517">
        <v>70862520</v>
      </c>
      <c r="U517" s="1">
        <v>-1.57573669558217E+16</v>
      </c>
      <c r="V517" s="1">
        <v>-4788324350970710</v>
      </c>
      <c r="W517" t="s">
        <v>65</v>
      </c>
      <c r="X517">
        <v>1</v>
      </c>
      <c r="Y517" t="s">
        <v>34</v>
      </c>
    </row>
    <row r="518" spans="1:25" x14ac:dyDescent="0.3">
      <c r="A518">
        <v>517</v>
      </c>
      <c r="B518">
        <v>518</v>
      </c>
      <c r="C518">
        <v>33866192000172</v>
      </c>
      <c r="D518">
        <v>3</v>
      </c>
      <c r="E518" t="s">
        <v>1574</v>
      </c>
      <c r="F518">
        <v>3</v>
      </c>
      <c r="G518" t="s">
        <v>1611</v>
      </c>
      <c r="H518" t="str">
        <f t="shared" si="8"/>
        <v>REDE 3 - BANDEIRA 3 - LOJA 518</v>
      </c>
      <c r="I518">
        <v>1</v>
      </c>
      <c r="J518" t="s">
        <v>26</v>
      </c>
      <c r="K518">
        <v>1</v>
      </c>
      <c r="L518" t="s">
        <v>1215</v>
      </c>
      <c r="M518">
        <v>4</v>
      </c>
      <c r="N518" t="s">
        <v>60</v>
      </c>
      <c r="O518">
        <v>4</v>
      </c>
      <c r="P518" t="s">
        <v>61</v>
      </c>
      <c r="Q518" t="s">
        <v>62</v>
      </c>
      <c r="R518">
        <v>3</v>
      </c>
      <c r="S518" t="s">
        <v>63</v>
      </c>
      <c r="T518">
        <v>71900100</v>
      </c>
      <c r="U518" s="1">
        <v>-158353898</v>
      </c>
      <c r="V518" s="1">
        <v>-480190674</v>
      </c>
      <c r="W518" t="s">
        <v>1137</v>
      </c>
      <c r="X518">
        <v>1</v>
      </c>
      <c r="Y518" t="s">
        <v>34</v>
      </c>
    </row>
    <row r="519" spans="1:25" x14ac:dyDescent="0.3">
      <c r="A519">
        <v>518</v>
      </c>
      <c r="B519">
        <v>519</v>
      </c>
      <c r="C519">
        <v>15336448000158</v>
      </c>
      <c r="D519">
        <v>19</v>
      </c>
      <c r="E519" t="s">
        <v>1590</v>
      </c>
      <c r="F519">
        <v>19</v>
      </c>
      <c r="G519" t="s">
        <v>1627</v>
      </c>
      <c r="H519" t="str">
        <f t="shared" si="8"/>
        <v>REDE 19 - BANDEIRA 19 - LOJA 519</v>
      </c>
      <c r="I519">
        <v>1</v>
      </c>
      <c r="J519" t="s">
        <v>26</v>
      </c>
      <c r="K519">
        <v>2</v>
      </c>
      <c r="L519" t="s">
        <v>1216</v>
      </c>
      <c r="M519">
        <v>6</v>
      </c>
      <c r="N519" t="s">
        <v>236</v>
      </c>
      <c r="O519">
        <v>5</v>
      </c>
      <c r="P519" t="s">
        <v>237</v>
      </c>
      <c r="Q519" t="s">
        <v>238</v>
      </c>
      <c r="R519">
        <v>4</v>
      </c>
      <c r="S519" t="s">
        <v>239</v>
      </c>
      <c r="T519">
        <v>60325004</v>
      </c>
      <c r="U519" s="1">
        <v>-37355286</v>
      </c>
      <c r="V519" s="1">
        <v>-385622947</v>
      </c>
      <c r="W519" t="s">
        <v>535</v>
      </c>
      <c r="X519">
        <v>1</v>
      </c>
      <c r="Y519" t="s">
        <v>34</v>
      </c>
    </row>
    <row r="520" spans="1:25" x14ac:dyDescent="0.3">
      <c r="A520">
        <v>519</v>
      </c>
      <c r="B520">
        <v>520</v>
      </c>
      <c r="C520">
        <v>37469497000363</v>
      </c>
      <c r="D520">
        <v>19</v>
      </c>
      <c r="E520" t="s">
        <v>1590</v>
      </c>
      <c r="F520">
        <v>19</v>
      </c>
      <c r="G520" t="s">
        <v>1627</v>
      </c>
      <c r="H520" t="str">
        <f t="shared" si="8"/>
        <v>REDE 19 - BANDEIRA 19 - LOJA 520</v>
      </c>
      <c r="I520">
        <v>1</v>
      </c>
      <c r="J520" t="s">
        <v>26</v>
      </c>
      <c r="K520">
        <v>1</v>
      </c>
      <c r="L520" t="s">
        <v>1217</v>
      </c>
      <c r="M520">
        <v>10</v>
      </c>
      <c r="N520" t="s">
        <v>1078</v>
      </c>
      <c r="O520">
        <v>2</v>
      </c>
      <c r="P520" t="s">
        <v>37</v>
      </c>
      <c r="Q520" t="s">
        <v>38</v>
      </c>
      <c r="R520">
        <v>2</v>
      </c>
      <c r="S520" t="s">
        <v>39</v>
      </c>
      <c r="T520">
        <v>7110000</v>
      </c>
      <c r="U520" s="1">
        <v>-23468838</v>
      </c>
      <c r="V520" s="1">
        <v>-46526516</v>
      </c>
      <c r="W520" t="s">
        <v>221</v>
      </c>
      <c r="X520">
        <v>1</v>
      </c>
      <c r="Y520" t="s">
        <v>34</v>
      </c>
    </row>
    <row r="521" spans="1:25" x14ac:dyDescent="0.3">
      <c r="A521">
        <v>520</v>
      </c>
      <c r="B521">
        <v>521</v>
      </c>
      <c r="C521">
        <v>31508216000196</v>
      </c>
      <c r="D521">
        <v>3</v>
      </c>
      <c r="E521" t="s">
        <v>1574</v>
      </c>
      <c r="F521">
        <v>3</v>
      </c>
      <c r="G521" t="s">
        <v>1611</v>
      </c>
      <c r="H521" t="str">
        <f t="shared" si="8"/>
        <v>REDE 3 - BANDEIRA 3 - LOJA 521</v>
      </c>
      <c r="I521">
        <v>1</v>
      </c>
      <c r="J521" t="s">
        <v>26</v>
      </c>
      <c r="K521">
        <v>1</v>
      </c>
      <c r="L521" t="s">
        <v>1163</v>
      </c>
      <c r="M521">
        <v>3</v>
      </c>
      <c r="N521" t="s">
        <v>43</v>
      </c>
      <c r="O521">
        <v>3</v>
      </c>
      <c r="P521" t="s">
        <v>44</v>
      </c>
      <c r="Q521" t="s">
        <v>43</v>
      </c>
      <c r="R521">
        <v>2</v>
      </c>
      <c r="S521" t="s">
        <v>39</v>
      </c>
      <c r="T521">
        <v>22640102</v>
      </c>
      <c r="U521" s="1">
        <v>-2.29986375429355E+16</v>
      </c>
      <c r="V521" s="1">
        <v>-4335724874187420</v>
      </c>
      <c r="W521" t="s">
        <v>115</v>
      </c>
      <c r="X521">
        <v>1</v>
      </c>
      <c r="Y521" t="s">
        <v>34</v>
      </c>
    </row>
    <row r="522" spans="1:25" x14ac:dyDescent="0.3">
      <c r="A522">
        <v>521</v>
      </c>
      <c r="B522">
        <v>522</v>
      </c>
      <c r="C522">
        <v>42872459000125</v>
      </c>
      <c r="D522">
        <v>19</v>
      </c>
      <c r="E522" t="s">
        <v>1590</v>
      </c>
      <c r="F522">
        <v>19</v>
      </c>
      <c r="G522" t="s">
        <v>1627</v>
      </c>
      <c r="H522" t="str">
        <f t="shared" si="8"/>
        <v>REDE 19 - BANDEIRA 19 - LOJA 522</v>
      </c>
      <c r="I522">
        <v>1</v>
      </c>
      <c r="J522" t="s">
        <v>26</v>
      </c>
      <c r="K522">
        <v>2</v>
      </c>
      <c r="L522" t="s">
        <v>1171</v>
      </c>
      <c r="M522">
        <v>2</v>
      </c>
      <c r="N522" t="s">
        <v>36</v>
      </c>
      <c r="O522">
        <v>2</v>
      </c>
      <c r="P522" t="s">
        <v>37</v>
      </c>
      <c r="Q522" t="s">
        <v>38</v>
      </c>
      <c r="R522">
        <v>2</v>
      </c>
      <c r="S522" t="s">
        <v>39</v>
      </c>
      <c r="T522">
        <v>3318000</v>
      </c>
      <c r="U522" s="1">
        <v>-2354421576631010</v>
      </c>
      <c r="V522" s="1">
        <v>-4.6563688584174704E+16</v>
      </c>
      <c r="W522" t="s">
        <v>683</v>
      </c>
      <c r="X522">
        <v>1</v>
      </c>
      <c r="Y522" t="s">
        <v>34</v>
      </c>
    </row>
    <row r="523" spans="1:25" x14ac:dyDescent="0.3">
      <c r="A523">
        <v>522</v>
      </c>
      <c r="B523">
        <v>523</v>
      </c>
      <c r="C523">
        <v>49049592000125</v>
      </c>
      <c r="D523">
        <v>3</v>
      </c>
      <c r="E523" t="s">
        <v>1574</v>
      </c>
      <c r="F523">
        <v>3</v>
      </c>
      <c r="G523" t="s">
        <v>1611</v>
      </c>
      <c r="H523" t="str">
        <f t="shared" si="8"/>
        <v>REDE 3 - BANDEIRA 3 - LOJA 523</v>
      </c>
      <c r="I523">
        <v>1</v>
      </c>
      <c r="J523" t="s">
        <v>26</v>
      </c>
      <c r="K523">
        <v>1</v>
      </c>
      <c r="L523" t="s">
        <v>1218</v>
      </c>
      <c r="M523">
        <v>2</v>
      </c>
      <c r="N523" t="s">
        <v>36</v>
      </c>
      <c r="O523">
        <v>2</v>
      </c>
      <c r="P523" t="s">
        <v>37</v>
      </c>
      <c r="Q523" t="s">
        <v>38</v>
      </c>
      <c r="R523">
        <v>2</v>
      </c>
      <c r="S523" t="s">
        <v>39</v>
      </c>
      <c r="T523">
        <v>2049900</v>
      </c>
      <c r="U523" s="1">
        <v>-235144017</v>
      </c>
      <c r="V523" s="1">
        <v>-466153446</v>
      </c>
      <c r="W523" t="s">
        <v>496</v>
      </c>
      <c r="X523">
        <v>1</v>
      </c>
      <c r="Y523" t="s">
        <v>34</v>
      </c>
    </row>
    <row r="524" spans="1:25" x14ac:dyDescent="0.3">
      <c r="A524">
        <v>523</v>
      </c>
      <c r="B524">
        <v>524</v>
      </c>
      <c r="C524">
        <v>28396735000952</v>
      </c>
      <c r="D524">
        <v>12</v>
      </c>
      <c r="E524" t="s">
        <v>1583</v>
      </c>
      <c r="F524">
        <v>12</v>
      </c>
      <c r="G524" t="s">
        <v>1620</v>
      </c>
      <c r="H524" t="str">
        <f t="shared" si="8"/>
        <v>REDE 12 - BANDEIRA 12 - LOJA 524</v>
      </c>
      <c r="I524">
        <v>1</v>
      </c>
      <c r="J524" t="s">
        <v>26</v>
      </c>
      <c r="K524">
        <v>1</v>
      </c>
      <c r="L524" t="s">
        <v>1219</v>
      </c>
      <c r="M524">
        <v>6</v>
      </c>
      <c r="N524" t="s">
        <v>236</v>
      </c>
      <c r="O524">
        <v>5</v>
      </c>
      <c r="P524" t="s">
        <v>237</v>
      </c>
      <c r="Q524" t="s">
        <v>238</v>
      </c>
      <c r="R524">
        <v>4</v>
      </c>
      <c r="S524" t="s">
        <v>239</v>
      </c>
      <c r="T524">
        <v>60740005</v>
      </c>
      <c r="U524" s="1">
        <v>-37792758</v>
      </c>
      <c r="V524" s="1">
        <v>-385597302</v>
      </c>
      <c r="W524" t="s">
        <v>326</v>
      </c>
      <c r="X524">
        <v>1</v>
      </c>
      <c r="Y524" t="s">
        <v>34</v>
      </c>
    </row>
    <row r="525" spans="1:25" x14ac:dyDescent="0.3">
      <c r="A525">
        <v>524</v>
      </c>
      <c r="B525">
        <v>525</v>
      </c>
      <c r="C525">
        <v>45846800000166</v>
      </c>
      <c r="D525">
        <v>19</v>
      </c>
      <c r="E525" t="s">
        <v>1590</v>
      </c>
      <c r="F525">
        <v>19</v>
      </c>
      <c r="G525" t="s">
        <v>1627</v>
      </c>
      <c r="H525" t="str">
        <f t="shared" si="8"/>
        <v>REDE 19 - BANDEIRA 19 - LOJA 525</v>
      </c>
      <c r="I525">
        <v>1</v>
      </c>
      <c r="J525" t="s">
        <v>26</v>
      </c>
      <c r="K525">
        <v>2</v>
      </c>
      <c r="L525" t="s">
        <v>1220</v>
      </c>
      <c r="M525">
        <v>13</v>
      </c>
      <c r="N525" t="s">
        <v>1221</v>
      </c>
      <c r="O525">
        <v>6</v>
      </c>
      <c r="P525" t="s">
        <v>1222</v>
      </c>
      <c r="Q525" t="s">
        <v>25</v>
      </c>
      <c r="R525">
        <v>3</v>
      </c>
      <c r="S525" t="s">
        <v>63</v>
      </c>
      <c r="T525">
        <v>74593210</v>
      </c>
      <c r="U525" s="1">
        <v>-1.66211950364327E+16</v>
      </c>
      <c r="V525" s="1">
        <v>-4.92863854382238E+16</v>
      </c>
      <c r="W525" t="s">
        <v>1223</v>
      </c>
      <c r="X525">
        <v>1</v>
      </c>
      <c r="Y525" t="s">
        <v>34</v>
      </c>
    </row>
    <row r="526" spans="1:25" x14ac:dyDescent="0.3">
      <c r="A526">
        <v>525</v>
      </c>
      <c r="B526">
        <v>526</v>
      </c>
      <c r="C526">
        <v>33649445000156</v>
      </c>
      <c r="D526">
        <v>19</v>
      </c>
      <c r="E526" t="s">
        <v>1590</v>
      </c>
      <c r="F526">
        <v>19</v>
      </c>
      <c r="G526" t="s">
        <v>1627</v>
      </c>
      <c r="H526" t="str">
        <f t="shared" si="8"/>
        <v>REDE 19 - BANDEIRA 19 - LOJA 526</v>
      </c>
      <c r="I526">
        <v>1</v>
      </c>
      <c r="J526" t="s">
        <v>26</v>
      </c>
      <c r="K526">
        <v>2</v>
      </c>
      <c r="L526" t="s">
        <v>1224</v>
      </c>
      <c r="M526">
        <v>13</v>
      </c>
      <c r="N526" t="s">
        <v>1221</v>
      </c>
      <c r="O526">
        <v>6</v>
      </c>
      <c r="P526" t="s">
        <v>1222</v>
      </c>
      <c r="Q526" t="s">
        <v>25</v>
      </c>
      <c r="R526">
        <v>3</v>
      </c>
      <c r="S526" t="s">
        <v>63</v>
      </c>
      <c r="T526">
        <v>74650300</v>
      </c>
      <c r="U526" s="1">
        <v>-1.66530038412925E+16</v>
      </c>
      <c r="V526" s="1">
        <v>-4924528652213310</v>
      </c>
      <c r="W526" t="s">
        <v>1225</v>
      </c>
      <c r="X526">
        <v>1</v>
      </c>
      <c r="Y526" t="s">
        <v>34</v>
      </c>
    </row>
    <row r="527" spans="1:25" x14ac:dyDescent="0.3">
      <c r="A527">
        <v>526</v>
      </c>
      <c r="B527">
        <v>527</v>
      </c>
      <c r="C527">
        <v>49828279000195</v>
      </c>
      <c r="D527">
        <v>19</v>
      </c>
      <c r="E527" t="s">
        <v>1590</v>
      </c>
      <c r="F527">
        <v>19</v>
      </c>
      <c r="G527" t="s">
        <v>1627</v>
      </c>
      <c r="H527" t="str">
        <f t="shared" si="8"/>
        <v>REDE 19 - BANDEIRA 19 - LOJA 527</v>
      </c>
      <c r="I527">
        <v>1</v>
      </c>
      <c r="J527" t="s">
        <v>26</v>
      </c>
      <c r="K527">
        <v>2</v>
      </c>
      <c r="L527" t="s">
        <v>1226</v>
      </c>
      <c r="M527">
        <v>13</v>
      </c>
      <c r="N527" t="s">
        <v>1221</v>
      </c>
      <c r="O527">
        <v>6</v>
      </c>
      <c r="P527" t="s">
        <v>1222</v>
      </c>
      <c r="Q527" t="s">
        <v>25</v>
      </c>
      <c r="R527">
        <v>3</v>
      </c>
      <c r="S527" t="s">
        <v>63</v>
      </c>
      <c r="T527">
        <v>74010010</v>
      </c>
      <c r="U527" s="1">
        <v>-166613885</v>
      </c>
      <c r="V527" s="1">
        <v>-492617784</v>
      </c>
      <c r="W527" t="s">
        <v>1227</v>
      </c>
      <c r="X527">
        <v>1</v>
      </c>
      <c r="Y527" t="s">
        <v>34</v>
      </c>
    </row>
    <row r="528" spans="1:25" x14ac:dyDescent="0.3">
      <c r="A528">
        <v>527</v>
      </c>
      <c r="B528">
        <v>528</v>
      </c>
      <c r="C528">
        <v>51130289000102</v>
      </c>
      <c r="D528">
        <v>19</v>
      </c>
      <c r="E528" t="s">
        <v>1590</v>
      </c>
      <c r="F528">
        <v>19</v>
      </c>
      <c r="G528" t="s">
        <v>1627</v>
      </c>
      <c r="H528" t="str">
        <f t="shared" si="8"/>
        <v>REDE 19 - BANDEIRA 19 - LOJA 528</v>
      </c>
      <c r="I528">
        <v>1</v>
      </c>
      <c r="J528" t="s">
        <v>26</v>
      </c>
      <c r="K528">
        <v>2</v>
      </c>
      <c r="L528" t="s">
        <v>1228</v>
      </c>
      <c r="M528">
        <v>14</v>
      </c>
      <c r="N528" t="s">
        <v>1229</v>
      </c>
      <c r="O528">
        <v>7</v>
      </c>
      <c r="P528" t="s">
        <v>1230</v>
      </c>
      <c r="Q528" t="s">
        <v>25</v>
      </c>
      <c r="R528">
        <v>4</v>
      </c>
      <c r="S528" t="s">
        <v>239</v>
      </c>
      <c r="T528">
        <v>58038170</v>
      </c>
      <c r="U528" s="1">
        <v>-71067693</v>
      </c>
      <c r="V528" s="1">
        <v>-348280622</v>
      </c>
      <c r="W528" t="s">
        <v>1231</v>
      </c>
      <c r="X528">
        <v>1</v>
      </c>
      <c r="Y528" t="s">
        <v>34</v>
      </c>
    </row>
    <row r="529" spans="1:25" x14ac:dyDescent="0.3">
      <c r="A529">
        <v>528</v>
      </c>
      <c r="B529">
        <v>529</v>
      </c>
      <c r="C529">
        <v>29128863000120</v>
      </c>
      <c r="D529">
        <v>19</v>
      </c>
      <c r="E529" t="s">
        <v>1590</v>
      </c>
      <c r="F529">
        <v>19</v>
      </c>
      <c r="G529" t="s">
        <v>1627</v>
      </c>
      <c r="H529" t="str">
        <f t="shared" si="8"/>
        <v>REDE 19 - BANDEIRA 19 - LOJA 529</v>
      </c>
      <c r="I529">
        <v>1</v>
      </c>
      <c r="J529" t="s">
        <v>26</v>
      </c>
      <c r="K529">
        <v>2</v>
      </c>
      <c r="L529" t="s">
        <v>1232</v>
      </c>
      <c r="M529">
        <v>15</v>
      </c>
      <c r="N529" t="s">
        <v>1233</v>
      </c>
      <c r="O529">
        <v>8</v>
      </c>
      <c r="P529" t="s">
        <v>1234</v>
      </c>
      <c r="Q529" t="s">
        <v>25</v>
      </c>
      <c r="R529">
        <v>5</v>
      </c>
      <c r="S529" t="s">
        <v>1235</v>
      </c>
      <c r="T529">
        <v>69053140</v>
      </c>
      <c r="U529" s="1">
        <v>-3107556321880300</v>
      </c>
      <c r="V529" s="1">
        <v>-6001916930568770</v>
      </c>
      <c r="W529" t="s">
        <v>1236</v>
      </c>
      <c r="X529">
        <v>1</v>
      </c>
      <c r="Y529" t="s">
        <v>34</v>
      </c>
    </row>
    <row r="530" spans="1:25" x14ac:dyDescent="0.3">
      <c r="A530">
        <v>529</v>
      </c>
      <c r="B530">
        <v>530</v>
      </c>
      <c r="C530">
        <v>49963221000154</v>
      </c>
      <c r="D530">
        <v>19</v>
      </c>
      <c r="E530" t="s">
        <v>1590</v>
      </c>
      <c r="F530">
        <v>19</v>
      </c>
      <c r="G530" t="s">
        <v>1627</v>
      </c>
      <c r="H530" t="str">
        <f t="shared" si="8"/>
        <v>REDE 19 - BANDEIRA 19 - LOJA 530</v>
      </c>
      <c r="I530">
        <v>1</v>
      </c>
      <c r="J530" t="s">
        <v>26</v>
      </c>
      <c r="K530">
        <v>2</v>
      </c>
      <c r="L530" t="s">
        <v>1237</v>
      </c>
      <c r="M530">
        <v>16</v>
      </c>
      <c r="N530" t="s">
        <v>1238</v>
      </c>
      <c r="O530">
        <v>9</v>
      </c>
      <c r="P530" t="s">
        <v>1239</v>
      </c>
      <c r="Q530" t="s">
        <v>25</v>
      </c>
      <c r="R530">
        <v>1</v>
      </c>
      <c r="S530" t="s">
        <v>31</v>
      </c>
      <c r="T530">
        <v>91900225</v>
      </c>
      <c r="U530" s="1">
        <v>-3.01046926699787E+16</v>
      </c>
      <c r="V530" s="1">
        <v>-5125409962221260</v>
      </c>
      <c r="W530" t="s">
        <v>1240</v>
      </c>
      <c r="X530">
        <v>1</v>
      </c>
      <c r="Y530" t="s">
        <v>34</v>
      </c>
    </row>
    <row r="531" spans="1:25" x14ac:dyDescent="0.3">
      <c r="A531">
        <v>530</v>
      </c>
      <c r="B531">
        <v>531</v>
      </c>
      <c r="C531">
        <v>36351473000180</v>
      </c>
      <c r="D531">
        <v>19</v>
      </c>
      <c r="E531" t="s">
        <v>1590</v>
      </c>
      <c r="F531">
        <v>19</v>
      </c>
      <c r="G531" t="s">
        <v>1627</v>
      </c>
      <c r="H531" t="str">
        <f t="shared" si="8"/>
        <v>REDE 19 - BANDEIRA 19 - LOJA 531</v>
      </c>
      <c r="I531">
        <v>1</v>
      </c>
      <c r="J531" t="s">
        <v>26</v>
      </c>
      <c r="K531">
        <v>2</v>
      </c>
      <c r="L531" t="s">
        <v>1241</v>
      </c>
      <c r="M531">
        <v>17</v>
      </c>
      <c r="N531" t="s">
        <v>1143</v>
      </c>
      <c r="O531">
        <v>10</v>
      </c>
      <c r="P531" t="s">
        <v>1242</v>
      </c>
      <c r="Q531" t="s">
        <v>25</v>
      </c>
      <c r="R531">
        <v>3</v>
      </c>
      <c r="S531" t="s">
        <v>63</v>
      </c>
      <c r="T531">
        <v>79002400</v>
      </c>
      <c r="U531" s="1">
        <v>-2.04680642792442E+16</v>
      </c>
      <c r="V531" s="1">
        <v>-5.46072501755924E+16</v>
      </c>
      <c r="W531" t="s">
        <v>221</v>
      </c>
      <c r="X531">
        <v>1</v>
      </c>
      <c r="Y531" t="s">
        <v>34</v>
      </c>
    </row>
    <row r="532" spans="1:25" x14ac:dyDescent="0.3">
      <c r="A532">
        <v>531</v>
      </c>
      <c r="B532">
        <v>532</v>
      </c>
      <c r="C532">
        <v>21152980000118</v>
      </c>
      <c r="D532">
        <v>19</v>
      </c>
      <c r="E532" t="s">
        <v>1590</v>
      </c>
      <c r="F532">
        <v>19</v>
      </c>
      <c r="G532" t="s">
        <v>1627</v>
      </c>
      <c r="H532" t="str">
        <f t="shared" si="8"/>
        <v>REDE 19 - BANDEIRA 19 - LOJA 532</v>
      </c>
      <c r="I532">
        <v>1</v>
      </c>
      <c r="J532" t="s">
        <v>26</v>
      </c>
      <c r="K532">
        <v>2</v>
      </c>
      <c r="L532" t="s">
        <v>1243</v>
      </c>
      <c r="M532">
        <v>17</v>
      </c>
      <c r="N532" t="s">
        <v>1143</v>
      </c>
      <c r="O532">
        <v>10</v>
      </c>
      <c r="P532" t="s">
        <v>1242</v>
      </c>
      <c r="Q532" t="s">
        <v>25</v>
      </c>
      <c r="R532">
        <v>3</v>
      </c>
      <c r="S532" t="s">
        <v>63</v>
      </c>
      <c r="T532">
        <v>79002214</v>
      </c>
      <c r="U532" s="1">
        <v>-2.04587329505849E+16</v>
      </c>
      <c r="V532" s="1">
        <v>-5461863802146450</v>
      </c>
      <c r="W532" t="s">
        <v>221</v>
      </c>
      <c r="X532">
        <v>1</v>
      </c>
      <c r="Y532" t="s">
        <v>34</v>
      </c>
    </row>
    <row r="533" spans="1:25" x14ac:dyDescent="0.3">
      <c r="A533">
        <v>532</v>
      </c>
      <c r="B533">
        <v>533</v>
      </c>
      <c r="C533">
        <v>37836853000178</v>
      </c>
      <c r="D533">
        <v>19</v>
      </c>
      <c r="E533" t="s">
        <v>1590</v>
      </c>
      <c r="F533">
        <v>19</v>
      </c>
      <c r="G533" t="s">
        <v>1627</v>
      </c>
      <c r="H533" t="str">
        <f t="shared" si="8"/>
        <v>REDE 19 - BANDEIRA 19 - LOJA 533</v>
      </c>
      <c r="I533">
        <v>1</v>
      </c>
      <c r="J533" t="s">
        <v>26</v>
      </c>
      <c r="K533">
        <v>2</v>
      </c>
      <c r="L533" t="s">
        <v>1244</v>
      </c>
      <c r="M533">
        <v>17</v>
      </c>
      <c r="N533" t="s">
        <v>1143</v>
      </c>
      <c r="O533">
        <v>10</v>
      </c>
      <c r="P533" t="s">
        <v>1242</v>
      </c>
      <c r="Q533" t="s">
        <v>25</v>
      </c>
      <c r="R533">
        <v>3</v>
      </c>
      <c r="S533" t="s">
        <v>63</v>
      </c>
      <c r="T533">
        <v>79006320</v>
      </c>
      <c r="U533" s="1">
        <v>-20489176</v>
      </c>
      <c r="V533" s="1">
        <v>-546360815</v>
      </c>
      <c r="W533" t="s">
        <v>1245</v>
      </c>
      <c r="X533">
        <v>1</v>
      </c>
      <c r="Y533" t="s">
        <v>34</v>
      </c>
    </row>
    <row r="534" spans="1:25" x14ac:dyDescent="0.3">
      <c r="A534">
        <v>533</v>
      </c>
      <c r="B534">
        <v>534</v>
      </c>
      <c r="C534">
        <v>39468364000136</v>
      </c>
      <c r="D534">
        <v>19</v>
      </c>
      <c r="E534" t="s">
        <v>1590</v>
      </c>
      <c r="F534">
        <v>19</v>
      </c>
      <c r="G534" t="s">
        <v>1627</v>
      </c>
      <c r="H534" t="str">
        <f t="shared" si="8"/>
        <v>REDE 19 - BANDEIRA 19 - LOJA 534</v>
      </c>
      <c r="I534">
        <v>1</v>
      </c>
      <c r="J534" t="s">
        <v>26</v>
      </c>
      <c r="K534">
        <v>2</v>
      </c>
      <c r="L534" t="s">
        <v>1246</v>
      </c>
      <c r="M534">
        <v>18</v>
      </c>
      <c r="N534" t="s">
        <v>1247</v>
      </c>
      <c r="O534">
        <v>11</v>
      </c>
      <c r="P534" t="s">
        <v>1248</v>
      </c>
      <c r="Q534" t="s">
        <v>25</v>
      </c>
      <c r="R534">
        <v>5</v>
      </c>
      <c r="S534" t="s">
        <v>1235</v>
      </c>
      <c r="T534">
        <v>66055490</v>
      </c>
      <c r="U534" s="1">
        <v>-1443500778289290</v>
      </c>
      <c r="V534" s="1">
        <v>-4848048519762120</v>
      </c>
      <c r="W534" t="s">
        <v>1249</v>
      </c>
      <c r="X534">
        <v>1</v>
      </c>
      <c r="Y534" t="s">
        <v>34</v>
      </c>
    </row>
    <row r="535" spans="1:25" x14ac:dyDescent="0.3">
      <c r="A535">
        <v>534</v>
      </c>
      <c r="B535">
        <v>535</v>
      </c>
      <c r="C535">
        <v>48626594000177</v>
      </c>
      <c r="D535">
        <v>28</v>
      </c>
      <c r="E535" t="s">
        <v>1599</v>
      </c>
      <c r="F535">
        <v>28</v>
      </c>
      <c r="G535" t="s">
        <v>1636</v>
      </c>
      <c r="H535" t="str">
        <f t="shared" si="8"/>
        <v>REDE 28 - BANDEIRA 28 - LOJA 535</v>
      </c>
      <c r="I535">
        <v>1</v>
      </c>
      <c r="J535" t="s">
        <v>26</v>
      </c>
      <c r="K535">
        <v>2</v>
      </c>
      <c r="L535" t="s">
        <v>1250</v>
      </c>
      <c r="M535">
        <v>2</v>
      </c>
      <c r="N535" t="s">
        <v>36</v>
      </c>
      <c r="O535">
        <v>2</v>
      </c>
      <c r="P535" t="s">
        <v>37</v>
      </c>
      <c r="Q535" t="s">
        <v>38</v>
      </c>
      <c r="R535">
        <v>2</v>
      </c>
      <c r="S535" t="s">
        <v>39</v>
      </c>
      <c r="T535">
        <v>5425070</v>
      </c>
      <c r="U535" s="1">
        <v>-2357332821878300</v>
      </c>
      <c r="V535" s="1">
        <v>-4.66976481746396E+16</v>
      </c>
      <c r="W535" t="s">
        <v>334</v>
      </c>
      <c r="X535">
        <v>1</v>
      </c>
      <c r="Y535" t="s">
        <v>34</v>
      </c>
    </row>
    <row r="536" spans="1:25" x14ac:dyDescent="0.3">
      <c r="A536">
        <v>535</v>
      </c>
      <c r="B536">
        <v>536</v>
      </c>
      <c r="C536">
        <v>686639000253</v>
      </c>
      <c r="D536">
        <v>28</v>
      </c>
      <c r="E536" t="s">
        <v>1599</v>
      </c>
      <c r="F536">
        <v>28</v>
      </c>
      <c r="G536" t="s">
        <v>1636</v>
      </c>
      <c r="H536" t="str">
        <f t="shared" si="8"/>
        <v>REDE 28 - BANDEIRA 28 - LOJA 536</v>
      </c>
      <c r="I536">
        <v>1</v>
      </c>
      <c r="J536" t="s">
        <v>26</v>
      </c>
      <c r="K536">
        <v>2</v>
      </c>
      <c r="L536" t="s">
        <v>513</v>
      </c>
      <c r="M536">
        <v>2</v>
      </c>
      <c r="N536" t="s">
        <v>36</v>
      </c>
      <c r="O536">
        <v>2</v>
      </c>
      <c r="P536" t="s">
        <v>37</v>
      </c>
      <c r="Q536" t="s">
        <v>38</v>
      </c>
      <c r="R536">
        <v>2</v>
      </c>
      <c r="S536" t="s">
        <v>39</v>
      </c>
      <c r="T536">
        <v>4533004</v>
      </c>
      <c r="U536" s="1">
        <v>-2358440422907470</v>
      </c>
      <c r="V536" s="1">
        <v>-4668083368818770</v>
      </c>
      <c r="W536" t="s">
        <v>516</v>
      </c>
      <c r="X536">
        <v>1</v>
      </c>
      <c r="Y536" t="s">
        <v>34</v>
      </c>
    </row>
    <row r="537" spans="1:25" x14ac:dyDescent="0.3">
      <c r="A537">
        <v>536</v>
      </c>
      <c r="B537">
        <v>537</v>
      </c>
      <c r="C537">
        <v>843837000100</v>
      </c>
      <c r="D537">
        <v>19</v>
      </c>
      <c r="E537" t="s">
        <v>1590</v>
      </c>
      <c r="F537">
        <v>19</v>
      </c>
      <c r="G537" t="s">
        <v>1627</v>
      </c>
      <c r="H537" t="str">
        <f t="shared" si="8"/>
        <v>REDE 19 - BANDEIRA 19 - LOJA 537</v>
      </c>
      <c r="I537">
        <v>1</v>
      </c>
      <c r="J537" t="s">
        <v>26</v>
      </c>
      <c r="K537">
        <v>1</v>
      </c>
      <c r="L537" t="s">
        <v>1251</v>
      </c>
      <c r="M537">
        <v>2</v>
      </c>
      <c r="N537" t="s">
        <v>36</v>
      </c>
      <c r="O537">
        <v>2</v>
      </c>
      <c r="P537" t="s">
        <v>37</v>
      </c>
      <c r="Q537" t="s">
        <v>38</v>
      </c>
      <c r="R537">
        <v>2</v>
      </c>
      <c r="S537" t="s">
        <v>39</v>
      </c>
      <c r="T537">
        <v>4743060</v>
      </c>
      <c r="U537" s="1">
        <v>-23654332</v>
      </c>
      <c r="V537" s="1">
        <v>-46704552</v>
      </c>
      <c r="W537" t="s">
        <v>768</v>
      </c>
      <c r="X537">
        <v>1</v>
      </c>
      <c r="Y537" t="s">
        <v>34</v>
      </c>
    </row>
    <row r="538" spans="1:25" x14ac:dyDescent="0.3">
      <c r="A538">
        <v>537</v>
      </c>
      <c r="B538">
        <v>538</v>
      </c>
      <c r="C538">
        <v>29389098000100</v>
      </c>
      <c r="D538">
        <v>3</v>
      </c>
      <c r="E538" t="s">
        <v>1574</v>
      </c>
      <c r="F538">
        <v>3</v>
      </c>
      <c r="G538" t="s">
        <v>1611</v>
      </c>
      <c r="H538" t="str">
        <f t="shared" si="8"/>
        <v>REDE 3 - BANDEIRA 3 - LOJA 538</v>
      </c>
      <c r="I538">
        <v>1</v>
      </c>
      <c r="J538" t="s">
        <v>26</v>
      </c>
      <c r="K538">
        <v>1</v>
      </c>
      <c r="L538" t="s">
        <v>1252</v>
      </c>
      <c r="M538">
        <v>4</v>
      </c>
      <c r="N538" t="s">
        <v>60</v>
      </c>
      <c r="O538">
        <v>4</v>
      </c>
      <c r="P538" t="s">
        <v>61</v>
      </c>
      <c r="Q538" t="s">
        <v>62</v>
      </c>
      <c r="R538">
        <v>3</v>
      </c>
      <c r="S538" t="s">
        <v>63</v>
      </c>
      <c r="T538">
        <v>71940720</v>
      </c>
      <c r="U538" s="1">
        <v>-1.5840854309182E+16</v>
      </c>
      <c r="V538" s="1">
        <v>-4.8022898097930704E+16</v>
      </c>
      <c r="W538" t="s">
        <v>1137</v>
      </c>
      <c r="X538">
        <v>1</v>
      </c>
      <c r="Y538" t="s">
        <v>34</v>
      </c>
    </row>
    <row r="539" spans="1:25" x14ac:dyDescent="0.3">
      <c r="A539">
        <v>538</v>
      </c>
      <c r="B539">
        <v>539</v>
      </c>
      <c r="C539">
        <v>32712148000145</v>
      </c>
      <c r="D539">
        <v>19</v>
      </c>
      <c r="E539" t="s">
        <v>1590</v>
      </c>
      <c r="F539">
        <v>19</v>
      </c>
      <c r="G539" t="s">
        <v>1627</v>
      </c>
      <c r="H539" t="str">
        <f t="shared" si="8"/>
        <v>REDE 19 - BANDEIRA 19 - LOJA 539</v>
      </c>
      <c r="I539">
        <v>1</v>
      </c>
      <c r="J539" t="s">
        <v>26</v>
      </c>
      <c r="K539">
        <v>2</v>
      </c>
      <c r="L539" t="s">
        <v>1253</v>
      </c>
      <c r="M539">
        <v>4</v>
      </c>
      <c r="N539" t="s">
        <v>60</v>
      </c>
      <c r="O539">
        <v>4</v>
      </c>
      <c r="P539" t="s">
        <v>61</v>
      </c>
      <c r="Q539" t="s">
        <v>62</v>
      </c>
      <c r="R539">
        <v>3</v>
      </c>
      <c r="S539" t="s">
        <v>63</v>
      </c>
      <c r="T539">
        <v>71909720</v>
      </c>
      <c r="U539" s="1">
        <v>-1.58373047357902E+16</v>
      </c>
      <c r="V539" s="1">
        <v>-4801957255764340</v>
      </c>
      <c r="W539" t="s">
        <v>1137</v>
      </c>
      <c r="X539">
        <v>1</v>
      </c>
      <c r="Y539" t="s">
        <v>34</v>
      </c>
    </row>
    <row r="540" spans="1:25" x14ac:dyDescent="0.3">
      <c r="A540">
        <v>539</v>
      </c>
      <c r="B540">
        <v>540</v>
      </c>
      <c r="C540">
        <v>33891699000186</v>
      </c>
      <c r="D540">
        <v>19</v>
      </c>
      <c r="E540" t="s">
        <v>1590</v>
      </c>
      <c r="F540">
        <v>19</v>
      </c>
      <c r="G540" t="s">
        <v>1627</v>
      </c>
      <c r="H540" t="str">
        <f t="shared" si="8"/>
        <v>REDE 19 - BANDEIRA 19 - LOJA 540</v>
      </c>
      <c r="I540">
        <v>1</v>
      </c>
      <c r="J540" t="s">
        <v>26</v>
      </c>
      <c r="K540">
        <v>2</v>
      </c>
      <c r="L540" t="s">
        <v>1254</v>
      </c>
      <c r="M540">
        <v>4</v>
      </c>
      <c r="N540" t="s">
        <v>60</v>
      </c>
      <c r="O540">
        <v>4</v>
      </c>
      <c r="P540" t="s">
        <v>61</v>
      </c>
      <c r="Q540" t="s">
        <v>62</v>
      </c>
      <c r="R540">
        <v>3</v>
      </c>
      <c r="S540" t="s">
        <v>63</v>
      </c>
      <c r="T540">
        <v>71907180</v>
      </c>
      <c r="U540" s="1">
        <v>-1.58323069976783E+16</v>
      </c>
      <c r="V540" s="1">
        <v>-4.8010474947108896E+16</v>
      </c>
      <c r="W540" t="s">
        <v>1137</v>
      </c>
      <c r="X540">
        <v>1</v>
      </c>
      <c r="Y540" t="s">
        <v>34</v>
      </c>
    </row>
    <row r="541" spans="1:25" x14ac:dyDescent="0.3">
      <c r="A541">
        <v>540</v>
      </c>
      <c r="B541">
        <v>541</v>
      </c>
      <c r="C541">
        <v>51641202000153</v>
      </c>
      <c r="D541">
        <v>19</v>
      </c>
      <c r="E541" t="s">
        <v>1590</v>
      </c>
      <c r="F541">
        <v>19</v>
      </c>
      <c r="G541" t="s">
        <v>1627</v>
      </c>
      <c r="H541" t="str">
        <f t="shared" si="8"/>
        <v>REDE 19 - BANDEIRA 19 - LOJA 541</v>
      </c>
      <c r="I541">
        <v>1</v>
      </c>
      <c r="J541" t="s">
        <v>26</v>
      </c>
      <c r="K541">
        <v>2</v>
      </c>
      <c r="L541" t="s">
        <v>1255</v>
      </c>
      <c r="M541">
        <v>1</v>
      </c>
      <c r="N541" t="s">
        <v>28</v>
      </c>
      <c r="O541">
        <v>1</v>
      </c>
      <c r="P541" t="s">
        <v>29</v>
      </c>
      <c r="Q541" t="s">
        <v>30</v>
      </c>
      <c r="R541">
        <v>1</v>
      </c>
      <c r="S541" t="s">
        <v>31</v>
      </c>
      <c r="T541">
        <v>81200100</v>
      </c>
      <c r="U541" s="1">
        <v>-254351398</v>
      </c>
      <c r="V541" s="1">
        <v>-493167883</v>
      </c>
      <c r="W541" t="s">
        <v>1256</v>
      </c>
      <c r="X541">
        <v>1</v>
      </c>
      <c r="Y541" t="s">
        <v>34</v>
      </c>
    </row>
    <row r="542" spans="1:25" x14ac:dyDescent="0.3">
      <c r="A542">
        <v>541</v>
      </c>
      <c r="B542">
        <v>542</v>
      </c>
      <c r="C542">
        <v>45051013000128</v>
      </c>
      <c r="D542">
        <v>19</v>
      </c>
      <c r="E542" t="s">
        <v>1590</v>
      </c>
      <c r="F542">
        <v>19</v>
      </c>
      <c r="G542" t="s">
        <v>1627</v>
      </c>
      <c r="H542" t="str">
        <f t="shared" si="8"/>
        <v>REDE 19 - BANDEIRA 19 - LOJA 542</v>
      </c>
      <c r="I542">
        <v>1</v>
      </c>
      <c r="J542" t="s">
        <v>26</v>
      </c>
      <c r="K542">
        <v>2</v>
      </c>
      <c r="L542" t="s">
        <v>1257</v>
      </c>
      <c r="M542">
        <v>1</v>
      </c>
      <c r="N542" t="s">
        <v>28</v>
      </c>
      <c r="O542">
        <v>1</v>
      </c>
      <c r="P542" t="s">
        <v>29</v>
      </c>
      <c r="Q542" t="s">
        <v>30</v>
      </c>
      <c r="R542">
        <v>1</v>
      </c>
      <c r="S542" t="s">
        <v>31</v>
      </c>
      <c r="T542">
        <v>80020250</v>
      </c>
      <c r="U542" s="1">
        <v>-254299617</v>
      </c>
      <c r="V542" s="1">
        <v>-4926952989999990</v>
      </c>
      <c r="W542" t="s">
        <v>221</v>
      </c>
      <c r="X542">
        <v>1</v>
      </c>
      <c r="Y542" t="s">
        <v>34</v>
      </c>
    </row>
    <row r="543" spans="1:25" x14ac:dyDescent="0.3">
      <c r="A543">
        <v>542</v>
      </c>
      <c r="B543">
        <v>543</v>
      </c>
      <c r="C543">
        <v>34141087000139</v>
      </c>
      <c r="D543">
        <v>21</v>
      </c>
      <c r="E543" t="s">
        <v>1592</v>
      </c>
      <c r="F543">
        <v>21</v>
      </c>
      <c r="G543" t="s">
        <v>1629</v>
      </c>
      <c r="H543" t="str">
        <f t="shared" si="8"/>
        <v>REDE 21 - BANDEIRA 21 - LOJA 543</v>
      </c>
      <c r="I543">
        <v>1</v>
      </c>
      <c r="J543" t="s">
        <v>26</v>
      </c>
      <c r="K543">
        <v>2</v>
      </c>
      <c r="L543" t="s">
        <v>1258</v>
      </c>
      <c r="M543">
        <v>1</v>
      </c>
      <c r="N543" t="s">
        <v>28</v>
      </c>
      <c r="O543">
        <v>1</v>
      </c>
      <c r="P543" t="s">
        <v>29</v>
      </c>
      <c r="Q543" t="s">
        <v>30</v>
      </c>
      <c r="R543">
        <v>1</v>
      </c>
      <c r="S543" t="s">
        <v>31</v>
      </c>
      <c r="T543">
        <v>80530900</v>
      </c>
      <c r="U543" s="1">
        <v>-254233736</v>
      </c>
      <c r="V543" s="1">
        <v>-492705198</v>
      </c>
      <c r="W543" t="s">
        <v>602</v>
      </c>
      <c r="X543">
        <v>1</v>
      </c>
      <c r="Y543" t="s">
        <v>34</v>
      </c>
    </row>
    <row r="544" spans="1:25" x14ac:dyDescent="0.3">
      <c r="A544">
        <v>543</v>
      </c>
      <c r="B544">
        <v>544</v>
      </c>
      <c r="C544">
        <v>40384228000147</v>
      </c>
      <c r="D544">
        <v>19</v>
      </c>
      <c r="E544" t="s">
        <v>1590</v>
      </c>
      <c r="F544">
        <v>19</v>
      </c>
      <c r="G544" t="s">
        <v>1627</v>
      </c>
      <c r="H544" t="str">
        <f t="shared" si="8"/>
        <v>REDE 19 - BANDEIRA 19 - LOJA 544</v>
      </c>
      <c r="I544">
        <v>1</v>
      </c>
      <c r="J544" t="s">
        <v>26</v>
      </c>
      <c r="K544">
        <v>1</v>
      </c>
      <c r="L544" t="s">
        <v>1259</v>
      </c>
      <c r="M544">
        <v>5</v>
      </c>
      <c r="N544" t="s">
        <v>219</v>
      </c>
      <c r="O544">
        <v>1</v>
      </c>
      <c r="P544" t="s">
        <v>29</v>
      </c>
      <c r="Q544" t="s">
        <v>30</v>
      </c>
      <c r="R544">
        <v>1</v>
      </c>
      <c r="S544" t="s">
        <v>31</v>
      </c>
      <c r="T544">
        <v>83005010</v>
      </c>
      <c r="U544" s="1">
        <v>-255357513</v>
      </c>
      <c r="V544" s="1">
        <v>-492088931</v>
      </c>
      <c r="W544" t="s">
        <v>221</v>
      </c>
      <c r="X544">
        <v>1</v>
      </c>
      <c r="Y544" t="s">
        <v>34</v>
      </c>
    </row>
    <row r="545" spans="1:25" x14ac:dyDescent="0.3">
      <c r="A545">
        <v>544</v>
      </c>
      <c r="B545">
        <v>545</v>
      </c>
      <c r="C545">
        <v>40943560000102</v>
      </c>
      <c r="D545">
        <v>19</v>
      </c>
      <c r="E545" t="s">
        <v>1590</v>
      </c>
      <c r="F545">
        <v>19</v>
      </c>
      <c r="G545" t="s">
        <v>1627</v>
      </c>
      <c r="H545" t="str">
        <f t="shared" si="8"/>
        <v>REDE 19 - BANDEIRA 19 - LOJA 545</v>
      </c>
      <c r="I545">
        <v>1</v>
      </c>
      <c r="J545" t="s">
        <v>26</v>
      </c>
      <c r="K545">
        <v>2</v>
      </c>
      <c r="L545" t="s">
        <v>1260</v>
      </c>
      <c r="M545">
        <v>2</v>
      </c>
      <c r="N545" t="s">
        <v>36</v>
      </c>
      <c r="O545">
        <v>2</v>
      </c>
      <c r="P545" t="s">
        <v>37</v>
      </c>
      <c r="Q545" t="s">
        <v>38</v>
      </c>
      <c r="R545">
        <v>2</v>
      </c>
      <c r="S545" t="s">
        <v>39</v>
      </c>
      <c r="T545">
        <v>2118001</v>
      </c>
      <c r="U545" s="1">
        <v>-235181544</v>
      </c>
      <c r="V545" s="1">
        <v>-465883322</v>
      </c>
      <c r="W545" t="s">
        <v>1261</v>
      </c>
      <c r="X545">
        <v>1</v>
      </c>
      <c r="Y545" t="s">
        <v>34</v>
      </c>
    </row>
    <row r="546" spans="1:25" x14ac:dyDescent="0.3">
      <c r="A546">
        <v>545</v>
      </c>
      <c r="B546">
        <v>546</v>
      </c>
      <c r="C546">
        <v>33824323000159</v>
      </c>
      <c r="D546">
        <v>25</v>
      </c>
      <c r="E546" t="s">
        <v>1596</v>
      </c>
      <c r="F546">
        <v>25</v>
      </c>
      <c r="G546" t="s">
        <v>1633</v>
      </c>
      <c r="H546" t="str">
        <f t="shared" si="8"/>
        <v>REDE 25 - BANDEIRA 25 - LOJA 546</v>
      </c>
      <c r="I546">
        <v>1</v>
      </c>
      <c r="J546" t="s">
        <v>26</v>
      </c>
      <c r="K546">
        <v>1</v>
      </c>
      <c r="L546" t="s">
        <v>1262</v>
      </c>
      <c r="M546">
        <v>2</v>
      </c>
      <c r="N546" t="s">
        <v>36</v>
      </c>
      <c r="O546">
        <v>2</v>
      </c>
      <c r="P546" t="s">
        <v>37</v>
      </c>
      <c r="Q546" t="s">
        <v>38</v>
      </c>
      <c r="R546">
        <v>2</v>
      </c>
      <c r="S546" t="s">
        <v>39</v>
      </c>
      <c r="T546">
        <v>2430001</v>
      </c>
      <c r="U546" s="1">
        <v>-2.34829359212207E+16</v>
      </c>
      <c r="V546" s="1">
        <v>-4664507771825550</v>
      </c>
      <c r="W546" t="s">
        <v>1263</v>
      </c>
      <c r="X546">
        <v>1</v>
      </c>
      <c r="Y546" t="s">
        <v>34</v>
      </c>
    </row>
    <row r="547" spans="1:25" x14ac:dyDescent="0.3">
      <c r="A547">
        <v>546</v>
      </c>
      <c r="B547">
        <v>547</v>
      </c>
      <c r="C547">
        <v>20636472000142</v>
      </c>
      <c r="D547">
        <v>25</v>
      </c>
      <c r="E547" t="s">
        <v>1596</v>
      </c>
      <c r="F547">
        <v>25</v>
      </c>
      <c r="G547" t="s">
        <v>1633</v>
      </c>
      <c r="H547" t="str">
        <f t="shared" si="8"/>
        <v>REDE 25 - BANDEIRA 25 - LOJA 547</v>
      </c>
      <c r="I547">
        <v>1</v>
      </c>
      <c r="J547" t="s">
        <v>26</v>
      </c>
      <c r="K547">
        <v>1</v>
      </c>
      <c r="L547" t="s">
        <v>1264</v>
      </c>
      <c r="M547">
        <v>10</v>
      </c>
      <c r="N547" t="s">
        <v>1078</v>
      </c>
      <c r="O547">
        <v>2</v>
      </c>
      <c r="P547" t="s">
        <v>37</v>
      </c>
      <c r="Q547" t="s">
        <v>38</v>
      </c>
      <c r="R547">
        <v>2</v>
      </c>
      <c r="S547" t="s">
        <v>39</v>
      </c>
      <c r="T547">
        <v>7042040</v>
      </c>
      <c r="U547" s="1">
        <v>-234881295</v>
      </c>
      <c r="V547" s="1">
        <v>-465491937</v>
      </c>
      <c r="W547" t="s">
        <v>1265</v>
      </c>
      <c r="X547">
        <v>1</v>
      </c>
      <c r="Y547" t="s">
        <v>34</v>
      </c>
    </row>
    <row r="548" spans="1:25" x14ac:dyDescent="0.3">
      <c r="A548">
        <v>547</v>
      </c>
      <c r="B548">
        <v>548</v>
      </c>
      <c r="C548">
        <v>49544953000100</v>
      </c>
      <c r="D548">
        <v>19</v>
      </c>
      <c r="E548" t="s">
        <v>1590</v>
      </c>
      <c r="F548">
        <v>19</v>
      </c>
      <c r="G548" t="s">
        <v>1627</v>
      </c>
      <c r="H548" t="str">
        <f t="shared" si="8"/>
        <v>REDE 19 - BANDEIRA 19 - LOJA 548</v>
      </c>
      <c r="I548">
        <v>1</v>
      </c>
      <c r="J548" t="s">
        <v>26</v>
      </c>
      <c r="K548">
        <v>2</v>
      </c>
      <c r="L548" t="s">
        <v>1266</v>
      </c>
      <c r="M548">
        <v>2</v>
      </c>
      <c r="N548" t="s">
        <v>36</v>
      </c>
      <c r="O548">
        <v>2</v>
      </c>
      <c r="P548" t="s">
        <v>37</v>
      </c>
      <c r="Q548" t="s">
        <v>38</v>
      </c>
      <c r="R548">
        <v>2</v>
      </c>
      <c r="S548" t="s">
        <v>39</v>
      </c>
      <c r="T548">
        <v>7097420</v>
      </c>
      <c r="U548" s="1">
        <v>-234435922</v>
      </c>
      <c r="V548" s="1">
        <v>-465393892</v>
      </c>
      <c r="W548" t="s">
        <v>1267</v>
      </c>
      <c r="X548">
        <v>1</v>
      </c>
      <c r="Y548" t="s">
        <v>34</v>
      </c>
    </row>
    <row r="549" spans="1:25" x14ac:dyDescent="0.3">
      <c r="A549">
        <v>548</v>
      </c>
      <c r="B549">
        <v>549</v>
      </c>
      <c r="C549">
        <v>954224000647</v>
      </c>
      <c r="D549">
        <v>25</v>
      </c>
      <c r="E549" t="s">
        <v>1596</v>
      </c>
      <c r="F549">
        <v>25</v>
      </c>
      <c r="G549" t="s">
        <v>1633</v>
      </c>
      <c r="H549" t="str">
        <f t="shared" si="8"/>
        <v>REDE 25 - BANDEIRA 25 - LOJA 549</v>
      </c>
      <c r="I549">
        <v>1</v>
      </c>
      <c r="J549" t="s">
        <v>26</v>
      </c>
      <c r="K549">
        <v>1</v>
      </c>
      <c r="L549" t="s">
        <v>1268</v>
      </c>
      <c r="M549">
        <v>6</v>
      </c>
      <c r="N549" t="s">
        <v>236</v>
      </c>
      <c r="O549">
        <v>5</v>
      </c>
      <c r="P549" t="s">
        <v>237</v>
      </c>
      <c r="Q549" t="s">
        <v>238</v>
      </c>
      <c r="R549">
        <v>4</v>
      </c>
      <c r="S549" t="s">
        <v>239</v>
      </c>
      <c r="T549">
        <v>60176065</v>
      </c>
      <c r="U549" s="1">
        <v>-37408807</v>
      </c>
      <c r="V549" s="1">
        <v>-384735005</v>
      </c>
      <c r="W549" t="s">
        <v>320</v>
      </c>
      <c r="X549">
        <v>1</v>
      </c>
      <c r="Y549" t="s">
        <v>34</v>
      </c>
    </row>
    <row r="550" spans="1:25" x14ac:dyDescent="0.3">
      <c r="A550">
        <v>549</v>
      </c>
      <c r="B550">
        <v>550</v>
      </c>
      <c r="C550">
        <v>5075495000646</v>
      </c>
      <c r="D550">
        <v>19</v>
      </c>
      <c r="E550" t="s">
        <v>1590</v>
      </c>
      <c r="F550">
        <v>19</v>
      </c>
      <c r="G550" t="s">
        <v>1627</v>
      </c>
      <c r="H550" t="str">
        <f t="shared" si="8"/>
        <v>REDE 19 - BANDEIRA 19 - LOJA 550</v>
      </c>
      <c r="I550">
        <v>1</v>
      </c>
      <c r="J550" t="s">
        <v>26</v>
      </c>
      <c r="K550">
        <v>2</v>
      </c>
      <c r="L550" t="s">
        <v>1269</v>
      </c>
      <c r="M550">
        <v>2</v>
      </c>
      <c r="N550" t="s">
        <v>36</v>
      </c>
      <c r="O550">
        <v>2</v>
      </c>
      <c r="P550" t="s">
        <v>37</v>
      </c>
      <c r="Q550" t="s">
        <v>38</v>
      </c>
      <c r="R550">
        <v>2</v>
      </c>
      <c r="S550" t="s">
        <v>39</v>
      </c>
      <c r="T550">
        <v>1011000</v>
      </c>
      <c r="U550" s="1">
        <v>-235468695</v>
      </c>
      <c r="V550" s="1">
        <v>-466356975</v>
      </c>
      <c r="W550" t="s">
        <v>221</v>
      </c>
      <c r="X550">
        <v>1</v>
      </c>
      <c r="Y550" t="s">
        <v>34</v>
      </c>
    </row>
    <row r="551" spans="1:25" x14ac:dyDescent="0.3">
      <c r="A551">
        <v>550</v>
      </c>
      <c r="B551">
        <v>551</v>
      </c>
      <c r="C551">
        <v>34099915000118</v>
      </c>
      <c r="D551">
        <v>19</v>
      </c>
      <c r="E551" t="s">
        <v>1590</v>
      </c>
      <c r="F551">
        <v>19</v>
      </c>
      <c r="G551" t="s">
        <v>1627</v>
      </c>
      <c r="H551" t="str">
        <f t="shared" si="8"/>
        <v>REDE 19 - BANDEIRA 19 - LOJA 551</v>
      </c>
      <c r="I551">
        <v>1</v>
      </c>
      <c r="J551" t="s">
        <v>26</v>
      </c>
      <c r="K551">
        <v>2</v>
      </c>
      <c r="L551" t="s">
        <v>1270</v>
      </c>
      <c r="M551">
        <v>1</v>
      </c>
      <c r="N551" t="s">
        <v>28</v>
      </c>
      <c r="O551">
        <v>1</v>
      </c>
      <c r="P551" t="s">
        <v>29</v>
      </c>
      <c r="Q551" t="s">
        <v>30</v>
      </c>
      <c r="R551">
        <v>1</v>
      </c>
      <c r="S551" t="s">
        <v>31</v>
      </c>
      <c r="T551">
        <v>82300332</v>
      </c>
      <c r="U551" s="1">
        <v>-254237479</v>
      </c>
      <c r="V551" s="1">
        <v>-493516527</v>
      </c>
      <c r="W551" t="s">
        <v>1271</v>
      </c>
      <c r="X551">
        <v>1</v>
      </c>
      <c r="Y551" t="s">
        <v>34</v>
      </c>
    </row>
    <row r="552" spans="1:25" x14ac:dyDescent="0.3">
      <c r="A552">
        <v>551</v>
      </c>
      <c r="B552">
        <v>552</v>
      </c>
      <c r="C552">
        <v>32618199000102</v>
      </c>
      <c r="D552">
        <v>19</v>
      </c>
      <c r="E552" t="s">
        <v>1590</v>
      </c>
      <c r="F552">
        <v>19</v>
      </c>
      <c r="G552" t="s">
        <v>1627</v>
      </c>
      <c r="H552" t="str">
        <f t="shared" si="8"/>
        <v>REDE 19 - BANDEIRA 19 - LOJA 552</v>
      </c>
      <c r="I552">
        <v>1</v>
      </c>
      <c r="J552" t="s">
        <v>26</v>
      </c>
      <c r="K552">
        <v>2</v>
      </c>
      <c r="L552" t="s">
        <v>1272</v>
      </c>
      <c r="M552">
        <v>1</v>
      </c>
      <c r="N552" t="s">
        <v>28</v>
      </c>
      <c r="O552">
        <v>1</v>
      </c>
      <c r="P552" t="s">
        <v>29</v>
      </c>
      <c r="Q552" t="s">
        <v>30</v>
      </c>
      <c r="R552">
        <v>1</v>
      </c>
      <c r="S552" t="s">
        <v>31</v>
      </c>
      <c r="T552">
        <v>82510020</v>
      </c>
      <c r="U552" s="1">
        <v>-2.54104220962052E+16</v>
      </c>
      <c r="V552" s="1">
        <v>-4924128860235210</v>
      </c>
      <c r="W552" t="s">
        <v>244</v>
      </c>
      <c r="X552">
        <v>1</v>
      </c>
      <c r="Y552" t="s">
        <v>34</v>
      </c>
    </row>
    <row r="553" spans="1:25" x14ac:dyDescent="0.3">
      <c r="A553">
        <v>552</v>
      </c>
      <c r="B553">
        <v>553</v>
      </c>
      <c r="C553">
        <v>34962234000131</v>
      </c>
      <c r="D553">
        <v>19</v>
      </c>
      <c r="E553" t="s">
        <v>1590</v>
      </c>
      <c r="F553">
        <v>19</v>
      </c>
      <c r="G553" t="s">
        <v>1627</v>
      </c>
      <c r="H553" t="str">
        <f t="shared" si="8"/>
        <v>REDE 19 - BANDEIRA 19 - LOJA 553</v>
      </c>
      <c r="I553">
        <v>1</v>
      </c>
      <c r="J553" t="s">
        <v>26</v>
      </c>
      <c r="K553">
        <v>2</v>
      </c>
      <c r="L553" t="s">
        <v>1273</v>
      </c>
      <c r="M553">
        <v>19</v>
      </c>
      <c r="N553" t="s">
        <v>1274</v>
      </c>
      <c r="O553">
        <v>1</v>
      </c>
      <c r="P553" t="s">
        <v>29</v>
      </c>
      <c r="Q553" t="s">
        <v>30</v>
      </c>
      <c r="R553">
        <v>1</v>
      </c>
      <c r="S553" t="s">
        <v>31</v>
      </c>
      <c r="T553">
        <v>83702040</v>
      </c>
      <c r="U553" s="1">
        <v>-255883417</v>
      </c>
      <c r="V553" s="1">
        <v>-494015479</v>
      </c>
      <c r="W553" t="s">
        <v>221</v>
      </c>
      <c r="X553">
        <v>1</v>
      </c>
      <c r="Y553" t="s">
        <v>34</v>
      </c>
    </row>
    <row r="554" spans="1:25" x14ac:dyDescent="0.3">
      <c r="A554">
        <v>553</v>
      </c>
      <c r="B554">
        <v>554</v>
      </c>
      <c r="C554">
        <v>54218930000145</v>
      </c>
      <c r="D554">
        <v>19</v>
      </c>
      <c r="E554" t="s">
        <v>1590</v>
      </c>
      <c r="F554">
        <v>19</v>
      </c>
      <c r="G554" t="s">
        <v>1627</v>
      </c>
      <c r="H554" t="str">
        <f t="shared" si="8"/>
        <v>REDE 19 - BANDEIRA 19 - LOJA 554</v>
      </c>
      <c r="I554">
        <v>1</v>
      </c>
      <c r="J554" t="s">
        <v>26</v>
      </c>
      <c r="K554">
        <v>2</v>
      </c>
      <c r="L554" t="s">
        <v>1275</v>
      </c>
      <c r="M554">
        <v>1</v>
      </c>
      <c r="N554" t="s">
        <v>28</v>
      </c>
      <c r="O554">
        <v>1</v>
      </c>
      <c r="P554" t="s">
        <v>29</v>
      </c>
      <c r="Q554" t="s">
        <v>30</v>
      </c>
      <c r="R554">
        <v>1</v>
      </c>
      <c r="S554" t="s">
        <v>31</v>
      </c>
      <c r="T554">
        <v>81130000</v>
      </c>
      <c r="U554" s="1">
        <v>-254977422</v>
      </c>
      <c r="V554" s="1">
        <v>-492958393</v>
      </c>
      <c r="W554" t="s">
        <v>1276</v>
      </c>
      <c r="X554">
        <v>1</v>
      </c>
      <c r="Y554" t="s">
        <v>34</v>
      </c>
    </row>
    <row r="555" spans="1:25" x14ac:dyDescent="0.3">
      <c r="A555">
        <v>554</v>
      </c>
      <c r="B555">
        <v>555</v>
      </c>
      <c r="C555">
        <v>40220460000140</v>
      </c>
      <c r="D555">
        <v>36</v>
      </c>
      <c r="E555" t="s">
        <v>1605</v>
      </c>
      <c r="F555">
        <v>36</v>
      </c>
      <c r="G555" t="s">
        <v>1642</v>
      </c>
      <c r="H555" t="str">
        <f t="shared" si="8"/>
        <v>REDE 36 - BANDEIRA 36 - LOJA 555</v>
      </c>
      <c r="I555">
        <v>3</v>
      </c>
      <c r="J555" t="s">
        <v>1073</v>
      </c>
      <c r="K555">
        <v>4</v>
      </c>
      <c r="L555" t="s">
        <v>1277</v>
      </c>
      <c r="M555">
        <v>20</v>
      </c>
      <c r="N555" t="s">
        <v>1278</v>
      </c>
      <c r="O555">
        <v>5</v>
      </c>
      <c r="P555" t="s">
        <v>237</v>
      </c>
      <c r="Q555" t="s">
        <v>238</v>
      </c>
      <c r="R555">
        <v>4</v>
      </c>
      <c r="S555" t="s">
        <v>239</v>
      </c>
      <c r="T555">
        <v>61600020</v>
      </c>
      <c r="U555" s="1">
        <v>-3734991356537440</v>
      </c>
      <c r="V555" s="1">
        <v>-3.86557689805994E+16</v>
      </c>
      <c r="W555" t="s">
        <v>221</v>
      </c>
      <c r="X555">
        <v>1</v>
      </c>
      <c r="Y555" t="s">
        <v>34</v>
      </c>
    </row>
    <row r="556" spans="1:25" x14ac:dyDescent="0.3">
      <c r="A556">
        <v>555</v>
      </c>
      <c r="B556">
        <v>556</v>
      </c>
      <c r="C556">
        <v>53189844000199</v>
      </c>
      <c r="D556">
        <v>19</v>
      </c>
      <c r="E556" t="s">
        <v>1590</v>
      </c>
      <c r="F556">
        <v>19</v>
      </c>
      <c r="G556" t="s">
        <v>1627</v>
      </c>
      <c r="H556" t="str">
        <f t="shared" si="8"/>
        <v>REDE 19 - BANDEIRA 19 - LOJA 556</v>
      </c>
      <c r="I556">
        <v>1</v>
      </c>
      <c r="J556" t="s">
        <v>26</v>
      </c>
      <c r="K556">
        <v>1</v>
      </c>
      <c r="L556" t="s">
        <v>1279</v>
      </c>
      <c r="M556">
        <v>4</v>
      </c>
      <c r="N556" t="s">
        <v>60</v>
      </c>
      <c r="O556">
        <v>4</v>
      </c>
      <c r="P556" t="s">
        <v>61</v>
      </c>
      <c r="Q556" t="s">
        <v>62</v>
      </c>
      <c r="R556">
        <v>3</v>
      </c>
      <c r="S556" t="s">
        <v>63</v>
      </c>
      <c r="T556">
        <v>70745550</v>
      </c>
      <c r="U556" s="1">
        <v>-1.57701923522874E+16</v>
      </c>
      <c r="V556" s="1">
        <v>-4788731547272620</v>
      </c>
      <c r="W556" t="s">
        <v>65</v>
      </c>
      <c r="X556">
        <v>1</v>
      </c>
      <c r="Y556" t="s">
        <v>34</v>
      </c>
    </row>
    <row r="557" spans="1:25" x14ac:dyDescent="0.3">
      <c r="A557">
        <v>556</v>
      </c>
      <c r="B557">
        <v>557</v>
      </c>
      <c r="C557">
        <v>20499637000181</v>
      </c>
      <c r="D557">
        <v>19</v>
      </c>
      <c r="E557" t="s">
        <v>1590</v>
      </c>
      <c r="F557">
        <v>19</v>
      </c>
      <c r="G557" t="s">
        <v>1627</v>
      </c>
      <c r="H557" t="str">
        <f t="shared" si="8"/>
        <v>REDE 19 - BANDEIRA 19 - LOJA 557</v>
      </c>
      <c r="I557">
        <v>1</v>
      </c>
      <c r="J557" t="s">
        <v>26</v>
      </c>
      <c r="K557">
        <v>1</v>
      </c>
      <c r="L557" t="s">
        <v>1280</v>
      </c>
      <c r="M557">
        <v>4</v>
      </c>
      <c r="N557" t="s">
        <v>60</v>
      </c>
      <c r="O557">
        <v>4</v>
      </c>
      <c r="P557" t="s">
        <v>61</v>
      </c>
      <c r="Q557" t="s">
        <v>62</v>
      </c>
      <c r="R557">
        <v>3</v>
      </c>
      <c r="S557" t="s">
        <v>63</v>
      </c>
      <c r="T557">
        <v>70256520</v>
      </c>
      <c r="U557" s="1">
        <v>-1.58186775168901E+16</v>
      </c>
      <c r="V557" s="1">
        <v>-4789577627341840</v>
      </c>
      <c r="W557" t="s">
        <v>83</v>
      </c>
      <c r="X557">
        <v>1</v>
      </c>
      <c r="Y557" t="s">
        <v>34</v>
      </c>
    </row>
    <row r="558" spans="1:25" x14ac:dyDescent="0.3">
      <c r="A558">
        <v>557</v>
      </c>
      <c r="B558">
        <v>558</v>
      </c>
      <c r="C558">
        <v>15016988000154</v>
      </c>
      <c r="D558">
        <v>19</v>
      </c>
      <c r="E558" t="s">
        <v>1590</v>
      </c>
      <c r="F558">
        <v>19</v>
      </c>
      <c r="G558" t="s">
        <v>1627</v>
      </c>
      <c r="H558" t="str">
        <f t="shared" si="8"/>
        <v>REDE 19 - BANDEIRA 19 - LOJA 558</v>
      </c>
      <c r="I558">
        <v>1</v>
      </c>
      <c r="J558" t="s">
        <v>26</v>
      </c>
      <c r="K558">
        <v>1</v>
      </c>
      <c r="L558" t="s">
        <v>1281</v>
      </c>
      <c r="M558">
        <v>4</v>
      </c>
      <c r="N558" t="s">
        <v>60</v>
      </c>
      <c r="O558">
        <v>4</v>
      </c>
      <c r="P558" t="s">
        <v>61</v>
      </c>
      <c r="Q558" t="s">
        <v>62</v>
      </c>
      <c r="R558">
        <v>3</v>
      </c>
      <c r="S558" t="s">
        <v>63</v>
      </c>
      <c r="T558">
        <v>70673621</v>
      </c>
      <c r="U558" s="1">
        <v>-1580034854231960</v>
      </c>
      <c r="V558" s="1">
        <v>-4792527787730520</v>
      </c>
      <c r="W558" t="s">
        <v>95</v>
      </c>
      <c r="X558">
        <v>1</v>
      </c>
      <c r="Y558" t="s">
        <v>34</v>
      </c>
    </row>
    <row r="559" spans="1:25" x14ac:dyDescent="0.3">
      <c r="A559">
        <v>558</v>
      </c>
      <c r="B559">
        <v>559</v>
      </c>
      <c r="C559">
        <v>10881972000196</v>
      </c>
      <c r="D559">
        <v>19</v>
      </c>
      <c r="E559" t="s">
        <v>1590</v>
      </c>
      <c r="F559">
        <v>19</v>
      </c>
      <c r="G559" t="s">
        <v>1627</v>
      </c>
      <c r="H559" t="str">
        <f t="shared" si="8"/>
        <v>REDE 19 - BANDEIRA 19 - LOJA 559</v>
      </c>
      <c r="I559">
        <v>1</v>
      </c>
      <c r="J559" t="s">
        <v>26</v>
      </c>
      <c r="K559">
        <v>1</v>
      </c>
      <c r="L559" t="s">
        <v>1282</v>
      </c>
      <c r="M559">
        <v>4</v>
      </c>
      <c r="N559" t="s">
        <v>60</v>
      </c>
      <c r="O559">
        <v>4</v>
      </c>
      <c r="P559" t="s">
        <v>61</v>
      </c>
      <c r="Q559" t="s">
        <v>62</v>
      </c>
      <c r="R559">
        <v>3</v>
      </c>
      <c r="S559" t="s">
        <v>63</v>
      </c>
      <c r="T559">
        <v>70777073</v>
      </c>
      <c r="U559" s="1">
        <v>-1.57392548616229E+16</v>
      </c>
      <c r="V559" s="1">
        <v>-4.7900997520066496E+16</v>
      </c>
      <c r="W559" t="s">
        <v>65</v>
      </c>
      <c r="X559">
        <v>1</v>
      </c>
      <c r="Y559" t="s">
        <v>34</v>
      </c>
    </row>
    <row r="560" spans="1:25" x14ac:dyDescent="0.3">
      <c r="A560">
        <v>559</v>
      </c>
      <c r="B560">
        <v>560</v>
      </c>
      <c r="C560">
        <v>4105213000139</v>
      </c>
      <c r="D560">
        <v>25</v>
      </c>
      <c r="E560" t="s">
        <v>1596</v>
      </c>
      <c r="F560">
        <v>25</v>
      </c>
      <c r="G560" t="s">
        <v>1633</v>
      </c>
      <c r="H560" t="str">
        <f t="shared" si="8"/>
        <v>REDE 25 - BANDEIRA 25 - LOJA 560</v>
      </c>
      <c r="I560">
        <v>1</v>
      </c>
      <c r="J560" t="s">
        <v>26</v>
      </c>
      <c r="K560">
        <v>1</v>
      </c>
      <c r="L560" t="s">
        <v>1283</v>
      </c>
      <c r="M560">
        <v>3</v>
      </c>
      <c r="N560" t="s">
        <v>43</v>
      </c>
      <c r="O560">
        <v>3</v>
      </c>
      <c r="P560" t="s">
        <v>44</v>
      </c>
      <c r="Q560" t="s">
        <v>43</v>
      </c>
      <c r="R560">
        <v>2</v>
      </c>
      <c r="S560" t="s">
        <v>39</v>
      </c>
      <c r="T560">
        <v>22740360</v>
      </c>
      <c r="U560" s="1">
        <v>-229237161</v>
      </c>
      <c r="V560" s="1">
        <v>-43372338</v>
      </c>
      <c r="W560" t="s">
        <v>1155</v>
      </c>
      <c r="X560">
        <v>1</v>
      </c>
      <c r="Y560" t="s">
        <v>34</v>
      </c>
    </row>
    <row r="561" spans="1:25" x14ac:dyDescent="0.3">
      <c r="A561">
        <v>560</v>
      </c>
      <c r="B561">
        <v>561</v>
      </c>
      <c r="C561">
        <v>3048053000170</v>
      </c>
      <c r="D561">
        <v>19</v>
      </c>
      <c r="E561" t="s">
        <v>1590</v>
      </c>
      <c r="F561">
        <v>19</v>
      </c>
      <c r="G561" t="s">
        <v>1627</v>
      </c>
      <c r="H561" t="str">
        <f t="shared" si="8"/>
        <v>REDE 19 - BANDEIRA 19 - LOJA 561</v>
      </c>
      <c r="I561">
        <v>1</v>
      </c>
      <c r="J561" t="s">
        <v>26</v>
      </c>
      <c r="K561">
        <v>2</v>
      </c>
      <c r="L561" t="s">
        <v>1163</v>
      </c>
      <c r="M561">
        <v>3</v>
      </c>
      <c r="N561" t="s">
        <v>43</v>
      </c>
      <c r="O561">
        <v>3</v>
      </c>
      <c r="P561" t="s">
        <v>44</v>
      </c>
      <c r="Q561" t="s">
        <v>43</v>
      </c>
      <c r="R561">
        <v>2</v>
      </c>
      <c r="S561" t="s">
        <v>39</v>
      </c>
      <c r="T561">
        <v>22640100</v>
      </c>
      <c r="U561" s="1">
        <v>-230033969</v>
      </c>
      <c r="V561" s="1">
        <v>-433220402</v>
      </c>
      <c r="W561" t="s">
        <v>115</v>
      </c>
      <c r="X561">
        <v>1</v>
      </c>
      <c r="Y561" t="s">
        <v>34</v>
      </c>
    </row>
    <row r="562" spans="1:25" x14ac:dyDescent="0.3">
      <c r="A562">
        <v>561</v>
      </c>
      <c r="B562">
        <v>562</v>
      </c>
      <c r="C562">
        <v>9316770000112</v>
      </c>
      <c r="D562">
        <v>19</v>
      </c>
      <c r="E562" t="s">
        <v>1590</v>
      </c>
      <c r="F562">
        <v>19</v>
      </c>
      <c r="G562" t="s">
        <v>1627</v>
      </c>
      <c r="H562" t="str">
        <f t="shared" si="8"/>
        <v>REDE 19 - BANDEIRA 19 - LOJA 562</v>
      </c>
      <c r="I562">
        <v>1</v>
      </c>
      <c r="J562" t="s">
        <v>26</v>
      </c>
      <c r="K562">
        <v>1</v>
      </c>
      <c r="L562" t="s">
        <v>1210</v>
      </c>
      <c r="M562">
        <v>3</v>
      </c>
      <c r="N562" t="s">
        <v>43</v>
      </c>
      <c r="O562">
        <v>3</v>
      </c>
      <c r="P562" t="s">
        <v>44</v>
      </c>
      <c r="Q562" t="s">
        <v>43</v>
      </c>
      <c r="R562">
        <v>2</v>
      </c>
      <c r="S562" t="s">
        <v>39</v>
      </c>
      <c r="T562">
        <v>20771001</v>
      </c>
      <c r="U562" s="1">
        <v>-228872323</v>
      </c>
      <c r="V562" s="1">
        <v>-432805349</v>
      </c>
      <c r="W562" t="s">
        <v>1212</v>
      </c>
      <c r="X562">
        <v>1</v>
      </c>
      <c r="Y562" t="s">
        <v>34</v>
      </c>
    </row>
    <row r="563" spans="1:25" x14ac:dyDescent="0.3">
      <c r="A563">
        <v>562</v>
      </c>
      <c r="B563">
        <v>563</v>
      </c>
      <c r="C563">
        <v>10909699000160</v>
      </c>
      <c r="D563">
        <v>19</v>
      </c>
      <c r="E563" t="s">
        <v>1590</v>
      </c>
      <c r="F563">
        <v>19</v>
      </c>
      <c r="G563" t="s">
        <v>1627</v>
      </c>
      <c r="H563" t="str">
        <f t="shared" si="8"/>
        <v>REDE 19 - BANDEIRA 19 - LOJA 563</v>
      </c>
      <c r="I563">
        <v>1</v>
      </c>
      <c r="J563" t="s">
        <v>26</v>
      </c>
      <c r="K563">
        <v>1</v>
      </c>
      <c r="L563" t="s">
        <v>1284</v>
      </c>
      <c r="M563">
        <v>1</v>
      </c>
      <c r="N563" t="s">
        <v>28</v>
      </c>
      <c r="O563">
        <v>1</v>
      </c>
      <c r="P563" t="s">
        <v>29</v>
      </c>
      <c r="Q563" t="s">
        <v>30</v>
      </c>
      <c r="R563">
        <v>1</v>
      </c>
      <c r="S563" t="s">
        <v>31</v>
      </c>
      <c r="T563">
        <v>81925540</v>
      </c>
      <c r="U563" s="1">
        <v>-255472068</v>
      </c>
      <c r="V563" s="1">
        <v>-492713686</v>
      </c>
      <c r="W563" t="s">
        <v>570</v>
      </c>
      <c r="X563">
        <v>1</v>
      </c>
      <c r="Y563" t="s">
        <v>34</v>
      </c>
    </row>
    <row r="564" spans="1:25" x14ac:dyDescent="0.3">
      <c r="A564">
        <v>563</v>
      </c>
      <c r="B564">
        <v>564</v>
      </c>
      <c r="C564">
        <v>19444957000155</v>
      </c>
      <c r="D564">
        <v>19</v>
      </c>
      <c r="E564" t="s">
        <v>1590</v>
      </c>
      <c r="F564">
        <v>19</v>
      </c>
      <c r="G564" t="s">
        <v>1627</v>
      </c>
      <c r="H564" t="str">
        <f t="shared" si="8"/>
        <v>REDE 19 - BANDEIRA 19 - LOJA 564</v>
      </c>
      <c r="I564">
        <v>1</v>
      </c>
      <c r="J564" t="s">
        <v>26</v>
      </c>
      <c r="K564">
        <v>1</v>
      </c>
      <c r="L564" t="s">
        <v>1285</v>
      </c>
      <c r="M564">
        <v>21</v>
      </c>
      <c r="N564" t="s">
        <v>1286</v>
      </c>
      <c r="O564">
        <v>3</v>
      </c>
      <c r="P564" t="s">
        <v>44</v>
      </c>
      <c r="Q564" t="s">
        <v>43</v>
      </c>
      <c r="R564">
        <v>2</v>
      </c>
      <c r="S564" t="s">
        <v>39</v>
      </c>
      <c r="T564">
        <v>25086296</v>
      </c>
      <c r="U564" s="1">
        <v>-227907539</v>
      </c>
      <c r="V564" s="1">
        <v>-432930916</v>
      </c>
      <c r="W564" t="s">
        <v>1287</v>
      </c>
      <c r="X564">
        <v>1</v>
      </c>
      <c r="Y564" t="s">
        <v>34</v>
      </c>
    </row>
    <row r="565" spans="1:25" x14ac:dyDescent="0.3">
      <c r="A565">
        <v>564</v>
      </c>
      <c r="B565">
        <v>565</v>
      </c>
      <c r="C565">
        <v>19632632000104</v>
      </c>
      <c r="D565">
        <v>11</v>
      </c>
      <c r="E565" t="s">
        <v>1582</v>
      </c>
      <c r="F565">
        <v>11</v>
      </c>
      <c r="G565" t="s">
        <v>1619</v>
      </c>
      <c r="H565" t="str">
        <f t="shared" si="8"/>
        <v>REDE 11 - BANDEIRA 11 - LOJA 565</v>
      </c>
      <c r="I565">
        <v>1</v>
      </c>
      <c r="J565" t="s">
        <v>26</v>
      </c>
      <c r="K565">
        <v>2</v>
      </c>
      <c r="L565" t="s">
        <v>1163</v>
      </c>
      <c r="M565">
        <v>3</v>
      </c>
      <c r="N565" t="s">
        <v>43</v>
      </c>
      <c r="O565">
        <v>3</v>
      </c>
      <c r="P565" t="s">
        <v>44</v>
      </c>
      <c r="Q565" t="s">
        <v>43</v>
      </c>
      <c r="R565">
        <v>2</v>
      </c>
      <c r="S565" t="s">
        <v>39</v>
      </c>
      <c r="T565">
        <v>22790702</v>
      </c>
      <c r="U565" s="1">
        <v>-230119956</v>
      </c>
      <c r="V565" s="1">
        <v>-43461621</v>
      </c>
      <c r="W565" t="s">
        <v>109</v>
      </c>
      <c r="X565">
        <v>1</v>
      </c>
      <c r="Y565" t="s">
        <v>34</v>
      </c>
    </row>
    <row r="566" spans="1:25" x14ac:dyDescent="0.3">
      <c r="A566">
        <v>565</v>
      </c>
      <c r="B566">
        <v>566</v>
      </c>
      <c r="C566">
        <v>21937809000203</v>
      </c>
      <c r="D566">
        <v>3</v>
      </c>
      <c r="E566" t="s">
        <v>1574</v>
      </c>
      <c r="F566">
        <v>3</v>
      </c>
      <c r="G566" t="s">
        <v>1611</v>
      </c>
      <c r="H566" t="str">
        <f t="shared" si="8"/>
        <v>REDE 3 - BANDEIRA 3 - LOJA 566</v>
      </c>
      <c r="I566">
        <v>1</v>
      </c>
      <c r="J566" t="s">
        <v>26</v>
      </c>
      <c r="K566">
        <v>1</v>
      </c>
      <c r="L566" t="s">
        <v>1288</v>
      </c>
      <c r="M566">
        <v>4</v>
      </c>
      <c r="N566" t="s">
        <v>60</v>
      </c>
      <c r="O566">
        <v>4</v>
      </c>
      <c r="P566" t="s">
        <v>61</v>
      </c>
      <c r="Q566" t="s">
        <v>62</v>
      </c>
      <c r="R566">
        <v>3</v>
      </c>
      <c r="S566" t="s">
        <v>63</v>
      </c>
      <c r="T566">
        <v>71250140</v>
      </c>
      <c r="U566" s="1">
        <v>-15791784</v>
      </c>
      <c r="V566" s="1">
        <v>-47883461</v>
      </c>
      <c r="W566" t="s">
        <v>86</v>
      </c>
      <c r="X566">
        <v>1</v>
      </c>
      <c r="Y566" t="s">
        <v>34</v>
      </c>
    </row>
    <row r="567" spans="1:25" x14ac:dyDescent="0.3">
      <c r="A567">
        <v>566</v>
      </c>
      <c r="B567">
        <v>567</v>
      </c>
      <c r="C567">
        <v>26245942000123</v>
      </c>
      <c r="D567">
        <v>19</v>
      </c>
      <c r="E567" t="s">
        <v>1590</v>
      </c>
      <c r="F567">
        <v>19</v>
      </c>
      <c r="G567" t="s">
        <v>1627</v>
      </c>
      <c r="H567" t="str">
        <f t="shared" si="8"/>
        <v>REDE 19 - BANDEIRA 19 - LOJA 567</v>
      </c>
      <c r="I567">
        <v>1</v>
      </c>
      <c r="J567" t="s">
        <v>26</v>
      </c>
      <c r="K567">
        <v>1</v>
      </c>
      <c r="L567" t="s">
        <v>1289</v>
      </c>
      <c r="M567">
        <v>22</v>
      </c>
      <c r="N567" t="s">
        <v>1290</v>
      </c>
      <c r="O567">
        <v>2</v>
      </c>
      <c r="P567" t="s">
        <v>37</v>
      </c>
      <c r="Q567" t="s">
        <v>38</v>
      </c>
      <c r="R567">
        <v>2</v>
      </c>
      <c r="S567" t="s">
        <v>39</v>
      </c>
      <c r="T567">
        <v>9040011</v>
      </c>
      <c r="U567" s="1">
        <v>-236654931</v>
      </c>
      <c r="V567" s="1">
        <v>-465336765</v>
      </c>
      <c r="W567" t="s">
        <v>221</v>
      </c>
      <c r="X567">
        <v>1</v>
      </c>
      <c r="Y567" t="s">
        <v>34</v>
      </c>
    </row>
    <row r="568" spans="1:25" x14ac:dyDescent="0.3">
      <c r="A568">
        <v>567</v>
      </c>
      <c r="B568">
        <v>568</v>
      </c>
      <c r="C568">
        <v>30289781000147</v>
      </c>
      <c r="D568">
        <v>19</v>
      </c>
      <c r="E568" t="s">
        <v>1590</v>
      </c>
      <c r="F568">
        <v>19</v>
      </c>
      <c r="G568" t="s">
        <v>1627</v>
      </c>
      <c r="H568" t="str">
        <f t="shared" si="8"/>
        <v>REDE 19 - BANDEIRA 19 - LOJA 568</v>
      </c>
      <c r="I568">
        <v>1</v>
      </c>
      <c r="J568" t="s">
        <v>26</v>
      </c>
      <c r="K568">
        <v>1</v>
      </c>
      <c r="L568" t="s">
        <v>1291</v>
      </c>
      <c r="M568">
        <v>1</v>
      </c>
      <c r="N568" t="s">
        <v>28</v>
      </c>
      <c r="O568">
        <v>1</v>
      </c>
      <c r="P568" t="s">
        <v>29</v>
      </c>
      <c r="Q568" t="s">
        <v>30</v>
      </c>
      <c r="R568">
        <v>1</v>
      </c>
      <c r="S568" t="s">
        <v>31</v>
      </c>
      <c r="T568">
        <v>80240000</v>
      </c>
      <c r="U568" s="1">
        <v>-254444993</v>
      </c>
      <c r="V568" s="1">
        <v>-492849741</v>
      </c>
      <c r="W568" t="s">
        <v>55</v>
      </c>
      <c r="X568">
        <v>1</v>
      </c>
      <c r="Y568" t="s">
        <v>34</v>
      </c>
    </row>
    <row r="569" spans="1:25" x14ac:dyDescent="0.3">
      <c r="A569">
        <v>568</v>
      </c>
      <c r="B569">
        <v>569</v>
      </c>
      <c r="C569">
        <v>31320358000125</v>
      </c>
      <c r="D569">
        <v>25</v>
      </c>
      <c r="E569" t="s">
        <v>1596</v>
      </c>
      <c r="F569">
        <v>25</v>
      </c>
      <c r="G569" t="s">
        <v>1633</v>
      </c>
      <c r="H569" t="str">
        <f t="shared" si="8"/>
        <v>REDE 25 - BANDEIRA 25 - LOJA 569</v>
      </c>
      <c r="I569">
        <v>1</v>
      </c>
      <c r="J569" t="s">
        <v>26</v>
      </c>
      <c r="K569">
        <v>1</v>
      </c>
      <c r="L569" t="s">
        <v>1292</v>
      </c>
      <c r="M569">
        <v>3</v>
      </c>
      <c r="N569" t="s">
        <v>43</v>
      </c>
      <c r="O569">
        <v>3</v>
      </c>
      <c r="P569" t="s">
        <v>44</v>
      </c>
      <c r="Q569" t="s">
        <v>43</v>
      </c>
      <c r="R569">
        <v>2</v>
      </c>
      <c r="S569" t="s">
        <v>39</v>
      </c>
      <c r="T569">
        <v>23045830</v>
      </c>
      <c r="U569" s="1">
        <v>-229275278</v>
      </c>
      <c r="V569" s="1">
        <v>-435739399</v>
      </c>
      <c r="W569" t="s">
        <v>1143</v>
      </c>
      <c r="X569">
        <v>1</v>
      </c>
      <c r="Y569" t="s">
        <v>34</v>
      </c>
    </row>
    <row r="570" spans="1:25" x14ac:dyDescent="0.3">
      <c r="A570">
        <v>569</v>
      </c>
      <c r="B570">
        <v>570</v>
      </c>
      <c r="C570">
        <v>32297355000180</v>
      </c>
      <c r="D570">
        <v>19</v>
      </c>
      <c r="E570" t="s">
        <v>1590</v>
      </c>
      <c r="F570">
        <v>19</v>
      </c>
      <c r="G570" t="s">
        <v>1627</v>
      </c>
      <c r="H570" t="str">
        <f t="shared" si="8"/>
        <v>REDE 19 - BANDEIRA 19 - LOJA 570</v>
      </c>
      <c r="I570">
        <v>1</v>
      </c>
      <c r="J570" t="s">
        <v>26</v>
      </c>
      <c r="K570">
        <v>2</v>
      </c>
      <c r="L570" t="s">
        <v>1293</v>
      </c>
      <c r="M570">
        <v>4</v>
      </c>
      <c r="N570" t="s">
        <v>60</v>
      </c>
      <c r="O570">
        <v>4</v>
      </c>
      <c r="P570" t="s">
        <v>61</v>
      </c>
      <c r="Q570" t="s">
        <v>62</v>
      </c>
      <c r="R570">
        <v>3</v>
      </c>
      <c r="S570" t="s">
        <v>63</v>
      </c>
      <c r="T570">
        <v>73360406</v>
      </c>
      <c r="U570" s="1">
        <v>-15622748</v>
      </c>
      <c r="V570" s="1">
        <v>-47648287</v>
      </c>
      <c r="W570" t="s">
        <v>1294</v>
      </c>
      <c r="X570">
        <v>1</v>
      </c>
      <c r="Y570" t="s">
        <v>34</v>
      </c>
    </row>
    <row r="571" spans="1:25" x14ac:dyDescent="0.3">
      <c r="A571">
        <v>570</v>
      </c>
      <c r="B571">
        <v>571</v>
      </c>
      <c r="C571">
        <v>32347235000140</v>
      </c>
      <c r="D571">
        <v>19</v>
      </c>
      <c r="E571" t="s">
        <v>1590</v>
      </c>
      <c r="F571">
        <v>19</v>
      </c>
      <c r="G571" t="s">
        <v>1627</v>
      </c>
      <c r="H571" t="str">
        <f t="shared" si="8"/>
        <v>REDE 19 - BANDEIRA 19 - LOJA 571</v>
      </c>
      <c r="I571">
        <v>1</v>
      </c>
      <c r="J571" t="s">
        <v>26</v>
      </c>
      <c r="K571">
        <v>1</v>
      </c>
      <c r="L571" t="s">
        <v>1295</v>
      </c>
      <c r="M571">
        <v>4</v>
      </c>
      <c r="N571" t="s">
        <v>60</v>
      </c>
      <c r="O571">
        <v>4</v>
      </c>
      <c r="P571" t="s">
        <v>61</v>
      </c>
      <c r="Q571" t="s">
        <v>62</v>
      </c>
      <c r="R571">
        <v>3</v>
      </c>
      <c r="S571" t="s">
        <v>63</v>
      </c>
      <c r="T571">
        <v>70254520</v>
      </c>
      <c r="U571" s="1">
        <v>-158277639</v>
      </c>
      <c r="V571" s="1">
        <v>-479249014</v>
      </c>
      <c r="W571" t="s">
        <v>83</v>
      </c>
      <c r="X571">
        <v>1</v>
      </c>
      <c r="Y571" t="s">
        <v>34</v>
      </c>
    </row>
    <row r="572" spans="1:25" x14ac:dyDescent="0.3">
      <c r="A572">
        <v>571</v>
      </c>
      <c r="B572">
        <v>572</v>
      </c>
      <c r="C572">
        <v>44157474000117</v>
      </c>
      <c r="D572">
        <v>21</v>
      </c>
      <c r="E572" t="s">
        <v>1592</v>
      </c>
      <c r="F572">
        <v>21</v>
      </c>
      <c r="G572" t="s">
        <v>1629</v>
      </c>
      <c r="H572" t="str">
        <f t="shared" si="8"/>
        <v>REDE 21 - BANDEIRA 21 - LOJA 572</v>
      </c>
      <c r="I572">
        <v>1</v>
      </c>
      <c r="J572" t="s">
        <v>26</v>
      </c>
      <c r="K572">
        <v>2</v>
      </c>
      <c r="L572" t="s">
        <v>1296</v>
      </c>
      <c r="M572">
        <v>1</v>
      </c>
      <c r="N572" t="s">
        <v>28</v>
      </c>
      <c r="O572">
        <v>1</v>
      </c>
      <c r="P572" t="s">
        <v>29</v>
      </c>
      <c r="Q572" t="s">
        <v>30</v>
      </c>
      <c r="R572">
        <v>1</v>
      </c>
      <c r="S572" t="s">
        <v>31</v>
      </c>
      <c r="T572">
        <v>81690300</v>
      </c>
      <c r="U572" s="1">
        <v>-254268409</v>
      </c>
      <c r="V572" s="1">
        <v>-492279968</v>
      </c>
      <c r="W572" t="s">
        <v>599</v>
      </c>
      <c r="X572">
        <v>1</v>
      </c>
      <c r="Y572" t="s">
        <v>34</v>
      </c>
    </row>
    <row r="573" spans="1:25" x14ac:dyDescent="0.3">
      <c r="A573">
        <v>572</v>
      </c>
      <c r="B573">
        <v>573</v>
      </c>
      <c r="C573">
        <v>48101947000115</v>
      </c>
      <c r="D573">
        <v>25</v>
      </c>
      <c r="E573" t="s">
        <v>1596</v>
      </c>
      <c r="F573">
        <v>25</v>
      </c>
      <c r="G573" t="s">
        <v>1633</v>
      </c>
      <c r="H573" t="str">
        <f t="shared" si="8"/>
        <v>REDE 25 - BANDEIRA 25 - LOJA 573</v>
      </c>
      <c r="I573">
        <v>1</v>
      </c>
      <c r="J573" t="s">
        <v>26</v>
      </c>
      <c r="K573">
        <v>1</v>
      </c>
      <c r="L573" t="s">
        <v>1297</v>
      </c>
      <c r="M573">
        <v>3</v>
      </c>
      <c r="N573" t="s">
        <v>43</v>
      </c>
      <c r="O573">
        <v>3</v>
      </c>
      <c r="P573" t="s">
        <v>44</v>
      </c>
      <c r="Q573" t="s">
        <v>43</v>
      </c>
      <c r="R573">
        <v>2</v>
      </c>
      <c r="S573" t="s">
        <v>39</v>
      </c>
      <c r="T573">
        <v>22713372</v>
      </c>
      <c r="U573" s="1">
        <v>-229232398</v>
      </c>
      <c r="V573" s="1">
        <v>-433754728</v>
      </c>
      <c r="W573" t="s">
        <v>1155</v>
      </c>
      <c r="X573">
        <v>1</v>
      </c>
      <c r="Y573" t="s">
        <v>34</v>
      </c>
    </row>
    <row r="574" spans="1:25" x14ac:dyDescent="0.3">
      <c r="A574">
        <v>573</v>
      </c>
      <c r="B574">
        <v>574</v>
      </c>
      <c r="C574">
        <v>50864890000158</v>
      </c>
      <c r="D574">
        <v>19</v>
      </c>
      <c r="E574" t="s">
        <v>1590</v>
      </c>
      <c r="F574">
        <v>19</v>
      </c>
      <c r="G574" t="s">
        <v>1627</v>
      </c>
      <c r="H574" t="str">
        <f t="shared" si="8"/>
        <v>REDE 19 - BANDEIRA 19 - LOJA 574</v>
      </c>
      <c r="I574">
        <v>1</v>
      </c>
      <c r="J574" t="s">
        <v>26</v>
      </c>
      <c r="K574">
        <v>2</v>
      </c>
      <c r="L574" t="s">
        <v>1298</v>
      </c>
      <c r="M574">
        <v>3</v>
      </c>
      <c r="N574" t="s">
        <v>43</v>
      </c>
      <c r="O574">
        <v>3</v>
      </c>
      <c r="P574" t="s">
        <v>44</v>
      </c>
      <c r="Q574" t="s">
        <v>43</v>
      </c>
      <c r="R574">
        <v>2</v>
      </c>
      <c r="S574" t="s">
        <v>39</v>
      </c>
      <c r="T574">
        <v>20771410</v>
      </c>
      <c r="U574" s="1">
        <v>-228922006</v>
      </c>
      <c r="V574" s="1">
        <v>-432818754</v>
      </c>
      <c r="W574" t="s">
        <v>1212</v>
      </c>
      <c r="X574">
        <v>1</v>
      </c>
      <c r="Y574" t="s">
        <v>34</v>
      </c>
    </row>
    <row r="575" spans="1:25" x14ac:dyDescent="0.3">
      <c r="A575">
        <v>574</v>
      </c>
      <c r="B575">
        <v>575</v>
      </c>
      <c r="C575">
        <v>17350225000251</v>
      </c>
      <c r="D575">
        <v>19</v>
      </c>
      <c r="E575" t="s">
        <v>1590</v>
      </c>
      <c r="F575">
        <v>19</v>
      </c>
      <c r="G575" t="s">
        <v>1627</v>
      </c>
      <c r="H575" t="str">
        <f t="shared" si="8"/>
        <v>REDE 19 - BANDEIRA 19 - LOJA 575</v>
      </c>
      <c r="I575">
        <v>1</v>
      </c>
      <c r="J575" t="s">
        <v>26</v>
      </c>
      <c r="K575">
        <v>1</v>
      </c>
      <c r="L575">
        <v>85</v>
      </c>
      <c r="M575">
        <v>13</v>
      </c>
      <c r="N575" t="s">
        <v>1221</v>
      </c>
      <c r="O575">
        <v>6</v>
      </c>
      <c r="P575" t="s">
        <v>1222</v>
      </c>
      <c r="Q575" t="s">
        <v>25</v>
      </c>
      <c r="R575">
        <v>3</v>
      </c>
      <c r="S575" t="s">
        <v>63</v>
      </c>
      <c r="T575" t="s">
        <v>1299</v>
      </c>
      <c r="U575" s="1">
        <v>-167023255</v>
      </c>
      <c r="V575" s="1">
        <v>-492645805</v>
      </c>
      <c r="W575" t="s">
        <v>1300</v>
      </c>
      <c r="X575">
        <v>1</v>
      </c>
      <c r="Y575" t="s">
        <v>34</v>
      </c>
    </row>
    <row r="576" spans="1:25" x14ac:dyDescent="0.3">
      <c r="A576">
        <v>575</v>
      </c>
      <c r="B576">
        <v>576</v>
      </c>
      <c r="C576">
        <v>17350225000170</v>
      </c>
      <c r="D576">
        <v>19</v>
      </c>
      <c r="E576" t="s">
        <v>1590</v>
      </c>
      <c r="F576">
        <v>19</v>
      </c>
      <c r="G576" t="s">
        <v>1627</v>
      </c>
      <c r="H576" t="str">
        <f t="shared" si="8"/>
        <v>REDE 19 - BANDEIRA 19 - LOJA 576</v>
      </c>
      <c r="I576">
        <v>1</v>
      </c>
      <c r="J576" t="s">
        <v>26</v>
      </c>
      <c r="K576">
        <v>1</v>
      </c>
      <c r="L576" t="s">
        <v>1301</v>
      </c>
      <c r="M576">
        <v>13</v>
      </c>
      <c r="N576" t="s">
        <v>1221</v>
      </c>
      <c r="O576">
        <v>6</v>
      </c>
      <c r="P576" t="s">
        <v>1222</v>
      </c>
      <c r="Q576" t="s">
        <v>25</v>
      </c>
      <c r="R576">
        <v>3</v>
      </c>
      <c r="S576" t="s">
        <v>63</v>
      </c>
      <c r="T576" t="s">
        <v>1302</v>
      </c>
      <c r="U576" s="1">
        <v>-16705417</v>
      </c>
      <c r="V576" s="1">
        <v>-49239088</v>
      </c>
      <c r="W576" t="s">
        <v>1303</v>
      </c>
      <c r="X576">
        <v>1</v>
      </c>
      <c r="Y576" t="s">
        <v>34</v>
      </c>
    </row>
    <row r="577" spans="1:25" x14ac:dyDescent="0.3">
      <c r="A577">
        <v>576</v>
      </c>
      <c r="B577">
        <v>577</v>
      </c>
      <c r="C577">
        <v>73456287000132</v>
      </c>
      <c r="D577">
        <v>19</v>
      </c>
      <c r="E577" t="s">
        <v>1590</v>
      </c>
      <c r="F577">
        <v>19</v>
      </c>
      <c r="G577" t="s">
        <v>1627</v>
      </c>
      <c r="H577" t="str">
        <f t="shared" si="8"/>
        <v>REDE 19 - BANDEIRA 19 - LOJA 577</v>
      </c>
      <c r="I577">
        <v>1</v>
      </c>
      <c r="J577" t="s">
        <v>26</v>
      </c>
      <c r="K577">
        <v>2</v>
      </c>
      <c r="L577" t="s">
        <v>1304</v>
      </c>
      <c r="M577">
        <v>13</v>
      </c>
      <c r="N577" t="s">
        <v>1221</v>
      </c>
      <c r="O577">
        <v>6</v>
      </c>
      <c r="P577" t="s">
        <v>1222</v>
      </c>
      <c r="Q577" t="s">
        <v>25</v>
      </c>
      <c r="R577">
        <v>3</v>
      </c>
      <c r="S577" t="s">
        <v>63</v>
      </c>
      <c r="T577" t="s">
        <v>1305</v>
      </c>
      <c r="U577" s="1">
        <v>-166704092</v>
      </c>
      <c r="V577" s="1">
        <v>-492417792</v>
      </c>
      <c r="W577" t="s">
        <v>1306</v>
      </c>
      <c r="X577">
        <v>1</v>
      </c>
      <c r="Y577" t="s">
        <v>34</v>
      </c>
    </row>
    <row r="578" spans="1:25" x14ac:dyDescent="0.3">
      <c r="A578">
        <v>577</v>
      </c>
      <c r="B578">
        <v>578</v>
      </c>
      <c r="C578">
        <v>17350225000332</v>
      </c>
      <c r="D578">
        <v>40</v>
      </c>
      <c r="E578" t="s">
        <v>1607</v>
      </c>
      <c r="F578">
        <v>39</v>
      </c>
      <c r="G578" t="s">
        <v>1644</v>
      </c>
      <c r="H578" t="str">
        <f t="shared" si="8"/>
        <v>REDE 40 - BANDEIRA 40 - LOJA 578</v>
      </c>
      <c r="I578">
        <v>1</v>
      </c>
      <c r="J578" t="s">
        <v>26</v>
      </c>
      <c r="K578">
        <v>1</v>
      </c>
      <c r="L578" t="s">
        <v>1307</v>
      </c>
      <c r="M578">
        <v>13</v>
      </c>
      <c r="N578" t="s">
        <v>1221</v>
      </c>
      <c r="O578">
        <v>6</v>
      </c>
      <c r="P578" t="s">
        <v>1222</v>
      </c>
      <c r="Q578" t="s">
        <v>25</v>
      </c>
      <c r="R578">
        <v>3</v>
      </c>
      <c r="S578" t="s">
        <v>63</v>
      </c>
      <c r="T578" t="s">
        <v>1308</v>
      </c>
      <c r="U578" s="1">
        <v>-167051256</v>
      </c>
      <c r="V578" s="1">
        <v>-492168953</v>
      </c>
      <c r="W578" t="s">
        <v>1309</v>
      </c>
      <c r="X578">
        <v>1</v>
      </c>
      <c r="Y578" t="s">
        <v>34</v>
      </c>
    </row>
    <row r="579" spans="1:25" x14ac:dyDescent="0.3">
      <c r="A579">
        <v>578</v>
      </c>
      <c r="B579">
        <v>579</v>
      </c>
      <c r="C579">
        <v>5396432000187</v>
      </c>
      <c r="D579">
        <v>19</v>
      </c>
      <c r="E579" t="s">
        <v>1590</v>
      </c>
      <c r="F579">
        <v>19</v>
      </c>
      <c r="G579" t="s">
        <v>1627</v>
      </c>
      <c r="H579" t="str">
        <f t="shared" ref="H579:H642" si="9">G579 &amp; " - "&amp; E579 &amp;" - LOJA " &amp;B579</f>
        <v>REDE 19 - BANDEIRA 19 - LOJA 579</v>
      </c>
      <c r="I579">
        <v>1</v>
      </c>
      <c r="J579" t="s">
        <v>26</v>
      </c>
      <c r="K579">
        <v>2</v>
      </c>
      <c r="L579" t="s">
        <v>1310</v>
      </c>
      <c r="M579">
        <v>13</v>
      </c>
      <c r="N579" t="s">
        <v>1221</v>
      </c>
      <c r="O579">
        <v>6</v>
      </c>
      <c r="P579" t="s">
        <v>1222</v>
      </c>
      <c r="Q579" t="s">
        <v>25</v>
      </c>
      <c r="R579">
        <v>3</v>
      </c>
      <c r="S579" t="s">
        <v>63</v>
      </c>
      <c r="T579">
        <v>74350785</v>
      </c>
      <c r="U579" s="1">
        <v>-167494685</v>
      </c>
      <c r="V579" s="1">
        <v>-493272973</v>
      </c>
      <c r="W579" t="s">
        <v>1311</v>
      </c>
      <c r="X579">
        <v>1</v>
      </c>
      <c r="Y579" t="s">
        <v>34</v>
      </c>
    </row>
    <row r="580" spans="1:25" x14ac:dyDescent="0.3">
      <c r="A580">
        <v>579</v>
      </c>
      <c r="B580">
        <v>580</v>
      </c>
      <c r="C580">
        <v>8250114000100</v>
      </c>
      <c r="D580">
        <v>19</v>
      </c>
      <c r="E580" t="s">
        <v>1590</v>
      </c>
      <c r="F580">
        <v>19</v>
      </c>
      <c r="G580" t="s">
        <v>1627</v>
      </c>
      <c r="H580" t="str">
        <f t="shared" si="9"/>
        <v>REDE 19 - BANDEIRA 19 - LOJA 580</v>
      </c>
      <c r="I580">
        <v>1</v>
      </c>
      <c r="J580" t="s">
        <v>26</v>
      </c>
      <c r="K580">
        <v>2</v>
      </c>
      <c r="L580">
        <v>89</v>
      </c>
      <c r="M580">
        <v>13</v>
      </c>
      <c r="N580" t="s">
        <v>1221</v>
      </c>
      <c r="O580">
        <v>6</v>
      </c>
      <c r="P580" t="s">
        <v>1222</v>
      </c>
      <c r="Q580" t="s">
        <v>25</v>
      </c>
      <c r="R580">
        <v>3</v>
      </c>
      <c r="S580" t="s">
        <v>63</v>
      </c>
      <c r="T580">
        <v>74093140</v>
      </c>
      <c r="U580" s="1">
        <v>-166953627</v>
      </c>
      <c r="V580" s="1">
        <v>-492578079</v>
      </c>
      <c r="W580" t="s">
        <v>1312</v>
      </c>
      <c r="X580">
        <v>1</v>
      </c>
      <c r="Y580" t="s">
        <v>34</v>
      </c>
    </row>
    <row r="581" spans="1:25" x14ac:dyDescent="0.3">
      <c r="A581">
        <v>580</v>
      </c>
      <c r="B581">
        <v>581</v>
      </c>
      <c r="C581">
        <v>8352740000107</v>
      </c>
      <c r="D581">
        <v>19</v>
      </c>
      <c r="E581" t="s">
        <v>1590</v>
      </c>
      <c r="F581">
        <v>19</v>
      </c>
      <c r="G581" t="s">
        <v>1627</v>
      </c>
      <c r="H581" t="str">
        <f t="shared" si="9"/>
        <v>REDE 19 - BANDEIRA 19 - LOJA 581</v>
      </c>
      <c r="I581">
        <v>1</v>
      </c>
      <c r="J581" t="s">
        <v>26</v>
      </c>
      <c r="K581">
        <v>2</v>
      </c>
      <c r="L581" t="s">
        <v>1313</v>
      </c>
      <c r="M581">
        <v>13</v>
      </c>
      <c r="N581" t="s">
        <v>1221</v>
      </c>
      <c r="O581">
        <v>6</v>
      </c>
      <c r="P581" t="s">
        <v>1222</v>
      </c>
      <c r="Q581" t="s">
        <v>25</v>
      </c>
      <c r="R581">
        <v>3</v>
      </c>
      <c r="S581" t="s">
        <v>63</v>
      </c>
      <c r="T581">
        <v>74515030</v>
      </c>
      <c r="U581" s="1">
        <v>-166646293</v>
      </c>
      <c r="V581" s="1">
        <v>-492931246</v>
      </c>
      <c r="W581" t="s">
        <v>1314</v>
      </c>
      <c r="X581">
        <v>1</v>
      </c>
      <c r="Y581" t="s">
        <v>34</v>
      </c>
    </row>
    <row r="582" spans="1:25" x14ac:dyDescent="0.3">
      <c r="A582">
        <v>581</v>
      </c>
      <c r="B582">
        <v>582</v>
      </c>
      <c r="C582">
        <v>12021001000100</v>
      </c>
      <c r="D582">
        <v>19</v>
      </c>
      <c r="E582" t="s">
        <v>1590</v>
      </c>
      <c r="F582">
        <v>19</v>
      </c>
      <c r="G582" t="s">
        <v>1627</v>
      </c>
      <c r="H582" t="str">
        <f t="shared" si="9"/>
        <v>REDE 19 - BANDEIRA 19 - LOJA 582</v>
      </c>
      <c r="I582">
        <v>1</v>
      </c>
      <c r="J582" t="s">
        <v>26</v>
      </c>
      <c r="K582">
        <v>2</v>
      </c>
      <c r="L582" t="s">
        <v>1315</v>
      </c>
      <c r="M582">
        <v>13</v>
      </c>
      <c r="N582" t="s">
        <v>1221</v>
      </c>
      <c r="O582">
        <v>6</v>
      </c>
      <c r="P582" t="s">
        <v>1222</v>
      </c>
      <c r="Q582" t="s">
        <v>25</v>
      </c>
      <c r="R582">
        <v>3</v>
      </c>
      <c r="S582" t="s">
        <v>63</v>
      </c>
      <c r="T582">
        <v>74823340</v>
      </c>
      <c r="U582" s="1">
        <v>-167140155</v>
      </c>
      <c r="V582" s="1">
        <v>-492615974</v>
      </c>
      <c r="W582" t="s">
        <v>1316</v>
      </c>
      <c r="X582">
        <v>1</v>
      </c>
      <c r="Y582" t="s">
        <v>34</v>
      </c>
    </row>
    <row r="583" spans="1:25" x14ac:dyDescent="0.3">
      <c r="A583">
        <v>582</v>
      </c>
      <c r="B583">
        <v>583</v>
      </c>
      <c r="C583">
        <v>12796204000160</v>
      </c>
      <c r="D583">
        <v>19</v>
      </c>
      <c r="E583" t="s">
        <v>1590</v>
      </c>
      <c r="F583">
        <v>19</v>
      </c>
      <c r="G583" t="s">
        <v>1627</v>
      </c>
      <c r="H583" t="str">
        <f t="shared" si="9"/>
        <v>REDE 19 - BANDEIRA 19 - LOJA 583</v>
      </c>
      <c r="I583">
        <v>1</v>
      </c>
      <c r="J583" t="s">
        <v>26</v>
      </c>
      <c r="K583">
        <v>2</v>
      </c>
      <c r="L583">
        <v>243</v>
      </c>
      <c r="M583">
        <v>13</v>
      </c>
      <c r="N583" t="s">
        <v>1221</v>
      </c>
      <c r="O583">
        <v>6</v>
      </c>
      <c r="P583" t="s">
        <v>1222</v>
      </c>
      <c r="Q583" t="s">
        <v>25</v>
      </c>
      <c r="R583">
        <v>3</v>
      </c>
      <c r="S583" t="s">
        <v>63</v>
      </c>
      <c r="T583">
        <v>74603200</v>
      </c>
      <c r="U583" s="1">
        <v>-167105465</v>
      </c>
      <c r="V583" s="1">
        <v>-492341341</v>
      </c>
      <c r="W583" t="s">
        <v>1317</v>
      </c>
      <c r="X583">
        <v>1</v>
      </c>
      <c r="Y583" t="s">
        <v>34</v>
      </c>
    </row>
    <row r="584" spans="1:25" x14ac:dyDescent="0.3">
      <c r="A584">
        <v>583</v>
      </c>
      <c r="B584">
        <v>584</v>
      </c>
      <c r="C584">
        <v>14268272000181</v>
      </c>
      <c r="D584">
        <v>19</v>
      </c>
      <c r="E584" t="s">
        <v>1590</v>
      </c>
      <c r="F584">
        <v>19</v>
      </c>
      <c r="G584" t="s">
        <v>1627</v>
      </c>
      <c r="H584" t="str">
        <f t="shared" si="9"/>
        <v>REDE 19 - BANDEIRA 19 - LOJA 584</v>
      </c>
      <c r="I584">
        <v>1</v>
      </c>
      <c r="J584" t="s">
        <v>26</v>
      </c>
      <c r="K584">
        <v>2</v>
      </c>
      <c r="L584" t="s">
        <v>1318</v>
      </c>
      <c r="M584">
        <v>13</v>
      </c>
      <c r="N584" t="s">
        <v>1221</v>
      </c>
      <c r="O584">
        <v>6</v>
      </c>
      <c r="P584" t="s">
        <v>1222</v>
      </c>
      <c r="Q584" t="s">
        <v>25</v>
      </c>
      <c r="R584">
        <v>3</v>
      </c>
      <c r="S584" t="s">
        <v>63</v>
      </c>
      <c r="T584">
        <v>74223060</v>
      </c>
      <c r="U584" s="1">
        <v>-167045179</v>
      </c>
      <c r="V584" s="1">
        <v>-492662693</v>
      </c>
      <c r="W584" t="s">
        <v>1319</v>
      </c>
      <c r="X584">
        <v>1</v>
      </c>
      <c r="Y584" t="s">
        <v>34</v>
      </c>
    </row>
    <row r="585" spans="1:25" x14ac:dyDescent="0.3">
      <c r="A585">
        <v>584</v>
      </c>
      <c r="B585">
        <v>585</v>
      </c>
      <c r="C585">
        <v>18039385000166</v>
      </c>
      <c r="D585">
        <v>19</v>
      </c>
      <c r="E585" t="s">
        <v>1590</v>
      </c>
      <c r="F585">
        <v>19</v>
      </c>
      <c r="G585" t="s">
        <v>1627</v>
      </c>
      <c r="H585" t="str">
        <f t="shared" si="9"/>
        <v>REDE 19 - BANDEIRA 19 - LOJA 585</v>
      </c>
      <c r="I585">
        <v>1</v>
      </c>
      <c r="J585" t="s">
        <v>26</v>
      </c>
      <c r="K585">
        <v>2</v>
      </c>
      <c r="L585" t="s">
        <v>1320</v>
      </c>
      <c r="M585">
        <v>13</v>
      </c>
      <c r="N585" t="s">
        <v>1221</v>
      </c>
      <c r="O585">
        <v>6</v>
      </c>
      <c r="P585" t="s">
        <v>1222</v>
      </c>
      <c r="Q585" t="s">
        <v>25</v>
      </c>
      <c r="R585">
        <v>3</v>
      </c>
      <c r="S585" t="s">
        <v>63</v>
      </c>
      <c r="T585">
        <v>74210098</v>
      </c>
      <c r="U585" s="1">
        <v>-167325107</v>
      </c>
      <c r="V585" s="1">
        <v>-492993166</v>
      </c>
      <c r="W585" t="s">
        <v>1319</v>
      </c>
      <c r="X585">
        <v>1</v>
      </c>
      <c r="Y585" t="s">
        <v>34</v>
      </c>
    </row>
    <row r="586" spans="1:25" x14ac:dyDescent="0.3">
      <c r="A586">
        <v>585</v>
      </c>
      <c r="B586">
        <v>586</v>
      </c>
      <c r="C586">
        <v>18165532000144</v>
      </c>
      <c r="D586">
        <v>19</v>
      </c>
      <c r="E586" t="s">
        <v>1590</v>
      </c>
      <c r="F586">
        <v>19</v>
      </c>
      <c r="G586" t="s">
        <v>1627</v>
      </c>
      <c r="H586" t="str">
        <f t="shared" si="9"/>
        <v>REDE 19 - BANDEIRA 19 - LOJA 586</v>
      </c>
      <c r="I586">
        <v>1</v>
      </c>
      <c r="J586" t="s">
        <v>26</v>
      </c>
      <c r="K586">
        <v>2</v>
      </c>
      <c r="L586" t="s">
        <v>1221</v>
      </c>
      <c r="M586">
        <v>13</v>
      </c>
      <c r="N586" t="s">
        <v>1221</v>
      </c>
      <c r="O586">
        <v>6</v>
      </c>
      <c r="P586" t="s">
        <v>1222</v>
      </c>
      <c r="Q586" t="s">
        <v>25</v>
      </c>
      <c r="R586">
        <v>3</v>
      </c>
      <c r="S586" t="s">
        <v>63</v>
      </c>
      <c r="T586">
        <v>74680830</v>
      </c>
      <c r="U586" s="1">
        <v>-166159161</v>
      </c>
      <c r="V586" s="1">
        <v>-49217529</v>
      </c>
      <c r="W586" t="s">
        <v>1321</v>
      </c>
      <c r="X586">
        <v>1</v>
      </c>
      <c r="Y586" t="s">
        <v>34</v>
      </c>
    </row>
    <row r="587" spans="1:25" x14ac:dyDescent="0.3">
      <c r="A587">
        <v>586</v>
      </c>
      <c r="B587">
        <v>587</v>
      </c>
      <c r="C587">
        <v>19337212000197</v>
      </c>
      <c r="D587">
        <v>19</v>
      </c>
      <c r="E587" t="s">
        <v>1590</v>
      </c>
      <c r="F587">
        <v>19</v>
      </c>
      <c r="G587" t="s">
        <v>1627</v>
      </c>
      <c r="H587" t="str">
        <f t="shared" si="9"/>
        <v>REDE 19 - BANDEIRA 19 - LOJA 587</v>
      </c>
      <c r="I587">
        <v>1</v>
      </c>
      <c r="J587" t="s">
        <v>26</v>
      </c>
      <c r="K587">
        <v>2</v>
      </c>
      <c r="L587" t="s">
        <v>1322</v>
      </c>
      <c r="M587">
        <v>13</v>
      </c>
      <c r="N587" t="s">
        <v>1221</v>
      </c>
      <c r="O587">
        <v>6</v>
      </c>
      <c r="P587" t="s">
        <v>1222</v>
      </c>
      <c r="Q587" t="s">
        <v>25</v>
      </c>
      <c r="R587">
        <v>3</v>
      </c>
      <c r="S587" t="s">
        <v>63</v>
      </c>
      <c r="T587">
        <v>74020155</v>
      </c>
      <c r="U587" s="1">
        <v>-166721055</v>
      </c>
      <c r="V587" s="1">
        <v>-4925419480000000</v>
      </c>
      <c r="W587" t="s">
        <v>1323</v>
      </c>
      <c r="X587">
        <v>1</v>
      </c>
      <c r="Y587" t="s">
        <v>34</v>
      </c>
    </row>
    <row r="588" spans="1:25" x14ac:dyDescent="0.3">
      <c r="A588">
        <v>587</v>
      </c>
      <c r="B588">
        <v>588</v>
      </c>
      <c r="C588">
        <v>19462242000125</v>
      </c>
      <c r="D588">
        <v>19</v>
      </c>
      <c r="E588" t="s">
        <v>1590</v>
      </c>
      <c r="F588">
        <v>19</v>
      </c>
      <c r="G588" t="s">
        <v>1627</v>
      </c>
      <c r="H588" t="str">
        <f t="shared" si="9"/>
        <v>REDE 19 - BANDEIRA 19 - LOJA 588</v>
      </c>
      <c r="I588">
        <v>1</v>
      </c>
      <c r="J588" t="s">
        <v>26</v>
      </c>
      <c r="K588">
        <v>2</v>
      </c>
      <c r="L588" t="s">
        <v>1324</v>
      </c>
      <c r="M588">
        <v>13</v>
      </c>
      <c r="N588" t="s">
        <v>1221</v>
      </c>
      <c r="O588">
        <v>6</v>
      </c>
      <c r="P588" t="s">
        <v>1222</v>
      </c>
      <c r="Q588" t="s">
        <v>25</v>
      </c>
      <c r="R588">
        <v>3</v>
      </c>
      <c r="S588" t="s">
        <v>63</v>
      </c>
      <c r="T588">
        <v>74660200</v>
      </c>
      <c r="U588" s="1">
        <v>-166485914</v>
      </c>
      <c r="V588" s="1">
        <v>-492574416</v>
      </c>
      <c r="W588" t="s">
        <v>1325</v>
      </c>
      <c r="X588">
        <v>1</v>
      </c>
      <c r="Y588" t="s">
        <v>34</v>
      </c>
    </row>
    <row r="589" spans="1:25" x14ac:dyDescent="0.3">
      <c r="A589">
        <v>588</v>
      </c>
      <c r="B589">
        <v>589</v>
      </c>
      <c r="C589">
        <v>19606330000153</v>
      </c>
      <c r="D589">
        <v>19</v>
      </c>
      <c r="E589" t="s">
        <v>1590</v>
      </c>
      <c r="F589">
        <v>19</v>
      </c>
      <c r="G589" t="s">
        <v>1627</v>
      </c>
      <c r="H589" t="str">
        <f t="shared" si="9"/>
        <v>REDE 19 - BANDEIRA 19 - LOJA 589</v>
      </c>
      <c r="I589">
        <v>1</v>
      </c>
      <c r="J589" t="s">
        <v>26</v>
      </c>
      <c r="K589">
        <v>2</v>
      </c>
      <c r="L589" t="s">
        <v>1326</v>
      </c>
      <c r="M589">
        <v>13</v>
      </c>
      <c r="N589" t="s">
        <v>1221</v>
      </c>
      <c r="O589">
        <v>6</v>
      </c>
      <c r="P589" t="s">
        <v>1222</v>
      </c>
      <c r="Q589" t="s">
        <v>25</v>
      </c>
      <c r="R589">
        <v>3</v>
      </c>
      <c r="S589" t="s">
        <v>63</v>
      </c>
      <c r="T589">
        <v>74815541</v>
      </c>
      <c r="U589" s="1">
        <v>-167146345</v>
      </c>
      <c r="V589" s="1">
        <v>-49240648</v>
      </c>
      <c r="W589" t="s">
        <v>1327</v>
      </c>
      <c r="X589">
        <v>1</v>
      </c>
      <c r="Y589" t="s">
        <v>34</v>
      </c>
    </row>
    <row r="590" spans="1:25" x14ac:dyDescent="0.3">
      <c r="A590">
        <v>589</v>
      </c>
      <c r="B590">
        <v>590</v>
      </c>
      <c r="C590">
        <v>19763232000120</v>
      </c>
      <c r="D590">
        <v>19</v>
      </c>
      <c r="E590" t="s">
        <v>1590</v>
      </c>
      <c r="F590">
        <v>19</v>
      </c>
      <c r="G590" t="s">
        <v>1627</v>
      </c>
      <c r="H590" t="str">
        <f t="shared" si="9"/>
        <v>REDE 19 - BANDEIRA 19 - LOJA 590</v>
      </c>
      <c r="I590">
        <v>1</v>
      </c>
      <c r="J590" t="s">
        <v>26</v>
      </c>
      <c r="K590">
        <v>2</v>
      </c>
      <c r="L590" t="s">
        <v>1328</v>
      </c>
      <c r="M590">
        <v>13</v>
      </c>
      <c r="N590" t="s">
        <v>1221</v>
      </c>
      <c r="O590">
        <v>6</v>
      </c>
      <c r="P590" t="s">
        <v>1222</v>
      </c>
      <c r="Q590" t="s">
        <v>25</v>
      </c>
      <c r="R590">
        <v>3</v>
      </c>
      <c r="S590" t="s">
        <v>63</v>
      </c>
      <c r="T590">
        <v>74525040</v>
      </c>
      <c r="U590" s="1">
        <v>-16669201</v>
      </c>
      <c r="V590" s="1">
        <v>-492888504</v>
      </c>
      <c r="W590" t="s">
        <v>1329</v>
      </c>
      <c r="X590">
        <v>1</v>
      </c>
      <c r="Y590" t="s">
        <v>34</v>
      </c>
    </row>
    <row r="591" spans="1:25" x14ac:dyDescent="0.3">
      <c r="A591">
        <v>590</v>
      </c>
      <c r="B591">
        <v>591</v>
      </c>
      <c r="C591">
        <v>20090211000170</v>
      </c>
      <c r="D591">
        <v>19</v>
      </c>
      <c r="E591" t="s">
        <v>1590</v>
      </c>
      <c r="F591">
        <v>19</v>
      </c>
      <c r="G591" t="s">
        <v>1627</v>
      </c>
      <c r="H591" t="str">
        <f t="shared" si="9"/>
        <v>REDE 19 - BANDEIRA 19 - LOJA 591</v>
      </c>
      <c r="I591">
        <v>1</v>
      </c>
      <c r="J591" t="s">
        <v>26</v>
      </c>
      <c r="K591">
        <v>2</v>
      </c>
      <c r="L591" t="s">
        <v>1330</v>
      </c>
      <c r="M591">
        <v>13</v>
      </c>
      <c r="N591" t="s">
        <v>1221</v>
      </c>
      <c r="O591">
        <v>6</v>
      </c>
      <c r="P591" t="s">
        <v>1222</v>
      </c>
      <c r="Q591" t="s">
        <v>25</v>
      </c>
      <c r="R591">
        <v>3</v>
      </c>
      <c r="S591" t="s">
        <v>63</v>
      </c>
      <c r="T591">
        <v>74430240</v>
      </c>
      <c r="U591" s="1">
        <v>-166715829</v>
      </c>
      <c r="V591" s="1">
        <v>-493104666</v>
      </c>
      <c r="W591" t="s">
        <v>1331</v>
      </c>
      <c r="X591">
        <v>1</v>
      </c>
      <c r="Y591" t="s">
        <v>34</v>
      </c>
    </row>
    <row r="592" spans="1:25" x14ac:dyDescent="0.3">
      <c r="A592">
        <v>591</v>
      </c>
      <c r="B592">
        <v>592</v>
      </c>
      <c r="C592">
        <v>21140376000171</v>
      </c>
      <c r="D592">
        <v>19</v>
      </c>
      <c r="E592" t="s">
        <v>1590</v>
      </c>
      <c r="F592">
        <v>19</v>
      </c>
      <c r="G592" t="s">
        <v>1627</v>
      </c>
      <c r="H592" t="str">
        <f t="shared" si="9"/>
        <v>REDE 19 - BANDEIRA 19 - LOJA 592</v>
      </c>
      <c r="I592">
        <v>1</v>
      </c>
      <c r="J592" t="s">
        <v>26</v>
      </c>
      <c r="K592">
        <v>2</v>
      </c>
      <c r="L592" t="s">
        <v>1332</v>
      </c>
      <c r="M592">
        <v>13</v>
      </c>
      <c r="N592" t="s">
        <v>1221</v>
      </c>
      <c r="O592">
        <v>6</v>
      </c>
      <c r="P592" t="s">
        <v>1222</v>
      </c>
      <c r="Q592" t="s">
        <v>25</v>
      </c>
      <c r="R592">
        <v>3</v>
      </c>
      <c r="S592" t="s">
        <v>63</v>
      </c>
      <c r="T592">
        <v>74370628</v>
      </c>
      <c r="U592" s="1">
        <v>-167260546</v>
      </c>
      <c r="V592" s="1">
        <v>-4934285029999990</v>
      </c>
      <c r="W592" t="s">
        <v>1333</v>
      </c>
      <c r="X592">
        <v>1</v>
      </c>
      <c r="Y592" t="s">
        <v>34</v>
      </c>
    </row>
    <row r="593" spans="1:25" x14ac:dyDescent="0.3">
      <c r="A593">
        <v>592</v>
      </c>
      <c r="B593">
        <v>593</v>
      </c>
      <c r="C593">
        <v>22061558000110</v>
      </c>
      <c r="D593">
        <v>19</v>
      </c>
      <c r="E593" t="s">
        <v>1590</v>
      </c>
      <c r="F593">
        <v>19</v>
      </c>
      <c r="G593" t="s">
        <v>1627</v>
      </c>
      <c r="H593" t="str">
        <f t="shared" si="9"/>
        <v>REDE 19 - BANDEIRA 19 - LOJA 593</v>
      </c>
      <c r="I593">
        <v>1</v>
      </c>
      <c r="J593" t="s">
        <v>26</v>
      </c>
      <c r="K593">
        <v>1</v>
      </c>
      <c r="L593" t="s">
        <v>1334</v>
      </c>
      <c r="M593">
        <v>13</v>
      </c>
      <c r="N593" t="s">
        <v>1221</v>
      </c>
      <c r="O593">
        <v>6</v>
      </c>
      <c r="P593" t="s">
        <v>1222</v>
      </c>
      <c r="Q593" t="s">
        <v>25</v>
      </c>
      <c r="R593">
        <v>3</v>
      </c>
      <c r="S593" t="s">
        <v>63</v>
      </c>
      <c r="T593">
        <v>74373290</v>
      </c>
      <c r="U593" s="1">
        <v>-167080541</v>
      </c>
      <c r="V593" s="1">
        <v>-493244997</v>
      </c>
      <c r="W593" t="s">
        <v>1335</v>
      </c>
      <c r="X593">
        <v>1</v>
      </c>
      <c r="Y593" t="s">
        <v>34</v>
      </c>
    </row>
    <row r="594" spans="1:25" x14ac:dyDescent="0.3">
      <c r="A594">
        <v>593</v>
      </c>
      <c r="B594">
        <v>594</v>
      </c>
      <c r="C594">
        <v>23627996000165</v>
      </c>
      <c r="D594">
        <v>19</v>
      </c>
      <c r="E594" t="s">
        <v>1590</v>
      </c>
      <c r="F594">
        <v>19</v>
      </c>
      <c r="G594" t="s">
        <v>1627</v>
      </c>
      <c r="H594" t="str">
        <f t="shared" si="9"/>
        <v>REDE 19 - BANDEIRA 19 - LOJA 594</v>
      </c>
      <c r="I594">
        <v>1</v>
      </c>
      <c r="J594" t="s">
        <v>26</v>
      </c>
      <c r="K594">
        <v>2</v>
      </c>
      <c r="L594" t="s">
        <v>1336</v>
      </c>
      <c r="M594">
        <v>13</v>
      </c>
      <c r="N594" t="s">
        <v>1221</v>
      </c>
      <c r="O594">
        <v>6</v>
      </c>
      <c r="P594" t="s">
        <v>1222</v>
      </c>
      <c r="Q594" t="s">
        <v>25</v>
      </c>
      <c r="R594">
        <v>3</v>
      </c>
      <c r="S594" t="s">
        <v>63</v>
      </c>
      <c r="T594">
        <v>74594046</v>
      </c>
      <c r="U594" s="1">
        <v>-166215405</v>
      </c>
      <c r="V594" s="1">
        <v>-493146907</v>
      </c>
      <c r="W594" t="s">
        <v>1337</v>
      </c>
      <c r="X594">
        <v>1</v>
      </c>
      <c r="Y594" t="s">
        <v>34</v>
      </c>
    </row>
    <row r="595" spans="1:25" x14ac:dyDescent="0.3">
      <c r="A595">
        <v>594</v>
      </c>
      <c r="B595">
        <v>595</v>
      </c>
      <c r="C595">
        <v>23696654000105</v>
      </c>
      <c r="D595">
        <v>19</v>
      </c>
      <c r="E595" t="s">
        <v>1590</v>
      </c>
      <c r="F595">
        <v>19</v>
      </c>
      <c r="G595" t="s">
        <v>1627</v>
      </c>
      <c r="H595" t="str">
        <f t="shared" si="9"/>
        <v>REDE 19 - BANDEIRA 19 - LOJA 595</v>
      </c>
      <c r="I595">
        <v>1</v>
      </c>
      <c r="J595" t="s">
        <v>26</v>
      </c>
      <c r="K595">
        <v>2</v>
      </c>
      <c r="L595" t="s">
        <v>1338</v>
      </c>
      <c r="M595">
        <v>13</v>
      </c>
      <c r="N595" t="s">
        <v>1221</v>
      </c>
      <c r="O595">
        <v>6</v>
      </c>
      <c r="P595" t="s">
        <v>1222</v>
      </c>
      <c r="Q595" t="s">
        <v>25</v>
      </c>
      <c r="R595">
        <v>3</v>
      </c>
      <c r="S595" t="s">
        <v>63</v>
      </c>
      <c r="T595">
        <v>74290190</v>
      </c>
      <c r="U595" s="1">
        <v>-167103242</v>
      </c>
      <c r="V595" s="1">
        <v>-4927469749999990</v>
      </c>
      <c r="W595" t="s">
        <v>383</v>
      </c>
      <c r="X595">
        <v>1</v>
      </c>
      <c r="Y595" t="s">
        <v>34</v>
      </c>
    </row>
    <row r="596" spans="1:25" x14ac:dyDescent="0.3">
      <c r="A596">
        <v>595</v>
      </c>
      <c r="B596">
        <v>596</v>
      </c>
      <c r="C596">
        <v>26225629000123</v>
      </c>
      <c r="D596">
        <v>19</v>
      </c>
      <c r="E596" t="s">
        <v>1590</v>
      </c>
      <c r="F596">
        <v>19</v>
      </c>
      <c r="G596" t="s">
        <v>1627</v>
      </c>
      <c r="H596" t="str">
        <f t="shared" si="9"/>
        <v>REDE 19 - BANDEIRA 19 - LOJA 596</v>
      </c>
      <c r="I596">
        <v>1</v>
      </c>
      <c r="J596" t="s">
        <v>26</v>
      </c>
      <c r="K596">
        <v>1</v>
      </c>
      <c r="L596" t="s">
        <v>1339</v>
      </c>
      <c r="M596">
        <v>13</v>
      </c>
      <c r="N596" t="s">
        <v>1221</v>
      </c>
      <c r="O596">
        <v>6</v>
      </c>
      <c r="P596" t="s">
        <v>1222</v>
      </c>
      <c r="Q596" t="s">
        <v>25</v>
      </c>
      <c r="R596">
        <v>3</v>
      </c>
      <c r="S596" t="s">
        <v>63</v>
      </c>
      <c r="T596">
        <v>74367640</v>
      </c>
      <c r="U596" s="1">
        <v>-167074826</v>
      </c>
      <c r="V596" s="1">
        <v>-493281234</v>
      </c>
      <c r="W596" t="s">
        <v>1340</v>
      </c>
      <c r="X596">
        <v>1</v>
      </c>
      <c r="Y596" t="s">
        <v>34</v>
      </c>
    </row>
    <row r="597" spans="1:25" x14ac:dyDescent="0.3">
      <c r="A597">
        <v>596</v>
      </c>
      <c r="B597">
        <v>597</v>
      </c>
      <c r="C597">
        <v>26550424000113</v>
      </c>
      <c r="D597">
        <v>19</v>
      </c>
      <c r="E597" t="s">
        <v>1590</v>
      </c>
      <c r="F597">
        <v>19</v>
      </c>
      <c r="G597" t="s">
        <v>1627</v>
      </c>
      <c r="H597" t="str">
        <f t="shared" si="9"/>
        <v>REDE 19 - BANDEIRA 19 - LOJA 597</v>
      </c>
      <c r="I597">
        <v>1</v>
      </c>
      <c r="J597" t="s">
        <v>26</v>
      </c>
      <c r="K597">
        <v>1</v>
      </c>
      <c r="L597" t="s">
        <v>1289</v>
      </c>
      <c r="M597">
        <v>13</v>
      </c>
      <c r="N597" t="s">
        <v>1221</v>
      </c>
      <c r="O597">
        <v>6</v>
      </c>
      <c r="P597" t="s">
        <v>1222</v>
      </c>
      <c r="Q597" t="s">
        <v>25</v>
      </c>
      <c r="R597">
        <v>3</v>
      </c>
      <c r="S597" t="s">
        <v>63</v>
      </c>
      <c r="T597">
        <v>74150030</v>
      </c>
      <c r="U597" s="1">
        <v>-166925754</v>
      </c>
      <c r="V597" s="1">
        <v>-492701437</v>
      </c>
      <c r="W597" t="s">
        <v>1300</v>
      </c>
      <c r="X597">
        <v>1</v>
      </c>
      <c r="Y597" t="s">
        <v>34</v>
      </c>
    </row>
    <row r="598" spans="1:25" x14ac:dyDescent="0.3">
      <c r="A598">
        <v>597</v>
      </c>
      <c r="B598">
        <v>598</v>
      </c>
      <c r="C598">
        <v>28612998000102</v>
      </c>
      <c r="D598">
        <v>19</v>
      </c>
      <c r="E598" t="s">
        <v>1590</v>
      </c>
      <c r="F598">
        <v>19</v>
      </c>
      <c r="G598" t="s">
        <v>1627</v>
      </c>
      <c r="H598" t="str">
        <f t="shared" si="9"/>
        <v>REDE 19 - BANDEIRA 19 - LOJA 598</v>
      </c>
      <c r="I598">
        <v>1</v>
      </c>
      <c r="J598" t="s">
        <v>26</v>
      </c>
      <c r="K598">
        <v>2</v>
      </c>
      <c r="L598" t="s">
        <v>1330</v>
      </c>
      <c r="M598">
        <v>13</v>
      </c>
      <c r="N598" t="s">
        <v>1221</v>
      </c>
      <c r="O598">
        <v>6</v>
      </c>
      <c r="P598" t="s">
        <v>1222</v>
      </c>
      <c r="Q598" t="s">
        <v>25</v>
      </c>
      <c r="R598">
        <v>3</v>
      </c>
      <c r="S598" t="s">
        <v>63</v>
      </c>
      <c r="T598">
        <v>74430240</v>
      </c>
      <c r="U598" s="1">
        <v>-166715829</v>
      </c>
      <c r="V598" s="1">
        <v>-493104666</v>
      </c>
      <c r="W598" t="s">
        <v>1331</v>
      </c>
      <c r="X598">
        <v>1</v>
      </c>
      <c r="Y598" t="s">
        <v>34</v>
      </c>
    </row>
    <row r="599" spans="1:25" x14ac:dyDescent="0.3">
      <c r="A599">
        <v>598</v>
      </c>
      <c r="B599">
        <v>599</v>
      </c>
      <c r="C599">
        <v>28747700000163</v>
      </c>
      <c r="D599">
        <v>19</v>
      </c>
      <c r="E599" t="s">
        <v>1590</v>
      </c>
      <c r="F599">
        <v>19</v>
      </c>
      <c r="G599" t="s">
        <v>1627</v>
      </c>
      <c r="H599" t="str">
        <f t="shared" si="9"/>
        <v>REDE 19 - BANDEIRA 19 - LOJA 599</v>
      </c>
      <c r="I599">
        <v>1</v>
      </c>
      <c r="J599" t="s">
        <v>26</v>
      </c>
      <c r="K599">
        <v>2</v>
      </c>
      <c r="L599" t="s">
        <v>1341</v>
      </c>
      <c r="M599">
        <v>13</v>
      </c>
      <c r="N599" t="s">
        <v>1221</v>
      </c>
      <c r="O599">
        <v>6</v>
      </c>
      <c r="P599" t="s">
        <v>1222</v>
      </c>
      <c r="Q599" t="s">
        <v>25</v>
      </c>
      <c r="R599">
        <v>3</v>
      </c>
      <c r="S599" t="s">
        <v>63</v>
      </c>
      <c r="T599">
        <v>74820065</v>
      </c>
      <c r="U599" s="1">
        <v>-167253138</v>
      </c>
      <c r="V599" s="1">
        <v>-492690573</v>
      </c>
      <c r="W599" t="s">
        <v>1327</v>
      </c>
      <c r="X599">
        <v>1</v>
      </c>
      <c r="Y599" t="s">
        <v>34</v>
      </c>
    </row>
    <row r="600" spans="1:25" x14ac:dyDescent="0.3">
      <c r="A600">
        <v>599</v>
      </c>
      <c r="B600">
        <v>600</v>
      </c>
      <c r="C600">
        <v>28819945000159</v>
      </c>
      <c r="D600">
        <v>19</v>
      </c>
      <c r="E600" t="s">
        <v>1590</v>
      </c>
      <c r="F600">
        <v>19</v>
      </c>
      <c r="G600" t="s">
        <v>1627</v>
      </c>
      <c r="H600" t="str">
        <f t="shared" si="9"/>
        <v>REDE 19 - BANDEIRA 19 - LOJA 600</v>
      </c>
      <c r="I600">
        <v>1</v>
      </c>
      <c r="J600" t="s">
        <v>26</v>
      </c>
      <c r="K600">
        <v>2</v>
      </c>
      <c r="L600" t="s">
        <v>1320</v>
      </c>
      <c r="M600">
        <v>13</v>
      </c>
      <c r="N600" t="s">
        <v>1221</v>
      </c>
      <c r="O600">
        <v>6</v>
      </c>
      <c r="P600" t="s">
        <v>1222</v>
      </c>
      <c r="Q600" t="s">
        <v>25</v>
      </c>
      <c r="R600">
        <v>3</v>
      </c>
      <c r="S600" t="s">
        <v>63</v>
      </c>
      <c r="T600">
        <v>74210045</v>
      </c>
      <c r="U600" s="1">
        <v>-167345552</v>
      </c>
      <c r="V600" s="1">
        <v>-4930504699999990</v>
      </c>
      <c r="W600" t="s">
        <v>1319</v>
      </c>
      <c r="X600">
        <v>1</v>
      </c>
      <c r="Y600" t="s">
        <v>34</v>
      </c>
    </row>
    <row r="601" spans="1:25" x14ac:dyDescent="0.3">
      <c r="A601">
        <v>600</v>
      </c>
      <c r="B601">
        <v>601</v>
      </c>
      <c r="C601">
        <v>29589387000145</v>
      </c>
      <c r="D601">
        <v>19</v>
      </c>
      <c r="E601" t="s">
        <v>1590</v>
      </c>
      <c r="F601">
        <v>19</v>
      </c>
      <c r="G601" t="s">
        <v>1627</v>
      </c>
      <c r="H601" t="str">
        <f t="shared" si="9"/>
        <v>REDE 19 - BANDEIRA 19 - LOJA 601</v>
      </c>
      <c r="I601">
        <v>1</v>
      </c>
      <c r="J601" t="s">
        <v>26</v>
      </c>
      <c r="K601">
        <v>2</v>
      </c>
      <c r="L601" t="s">
        <v>1342</v>
      </c>
      <c r="M601">
        <v>13</v>
      </c>
      <c r="N601" t="s">
        <v>1221</v>
      </c>
      <c r="O601">
        <v>6</v>
      </c>
      <c r="P601" t="s">
        <v>1222</v>
      </c>
      <c r="Q601" t="s">
        <v>25</v>
      </c>
      <c r="R601">
        <v>3</v>
      </c>
      <c r="S601" t="s">
        <v>63</v>
      </c>
      <c r="T601">
        <v>74815755</v>
      </c>
      <c r="U601" s="1">
        <v>-16723935</v>
      </c>
      <c r="V601" s="1">
        <v>-493091287</v>
      </c>
      <c r="W601" t="s">
        <v>1343</v>
      </c>
      <c r="X601">
        <v>1</v>
      </c>
      <c r="Y601" t="s">
        <v>34</v>
      </c>
    </row>
    <row r="602" spans="1:25" x14ac:dyDescent="0.3">
      <c r="A602">
        <v>601</v>
      </c>
      <c r="B602">
        <v>602</v>
      </c>
      <c r="C602">
        <v>30604457000176</v>
      </c>
      <c r="D602">
        <v>19</v>
      </c>
      <c r="E602" t="s">
        <v>1590</v>
      </c>
      <c r="F602">
        <v>19</v>
      </c>
      <c r="G602" t="s">
        <v>1627</v>
      </c>
      <c r="H602" t="str">
        <f t="shared" si="9"/>
        <v>REDE 19 - BANDEIRA 19 - LOJA 602</v>
      </c>
      <c r="I602">
        <v>1</v>
      </c>
      <c r="J602" t="s">
        <v>26</v>
      </c>
      <c r="K602">
        <v>1</v>
      </c>
      <c r="L602">
        <v>1028</v>
      </c>
      <c r="M602">
        <v>13</v>
      </c>
      <c r="N602" t="s">
        <v>1221</v>
      </c>
      <c r="O602">
        <v>6</v>
      </c>
      <c r="P602" t="s">
        <v>1222</v>
      </c>
      <c r="Q602" t="s">
        <v>25</v>
      </c>
      <c r="R602">
        <v>3</v>
      </c>
      <c r="S602" t="s">
        <v>63</v>
      </c>
      <c r="T602">
        <v>74823130</v>
      </c>
      <c r="U602" s="1">
        <v>-167107922</v>
      </c>
      <c r="V602" s="1">
        <v>-492564206</v>
      </c>
      <c r="W602" t="s">
        <v>1327</v>
      </c>
      <c r="X602">
        <v>1</v>
      </c>
      <c r="Y602" t="s">
        <v>34</v>
      </c>
    </row>
    <row r="603" spans="1:25" x14ac:dyDescent="0.3">
      <c r="A603">
        <v>602</v>
      </c>
      <c r="B603">
        <v>603</v>
      </c>
      <c r="C603">
        <v>30638184000180</v>
      </c>
      <c r="D603">
        <v>19</v>
      </c>
      <c r="E603" t="s">
        <v>1590</v>
      </c>
      <c r="F603">
        <v>19</v>
      </c>
      <c r="G603" t="s">
        <v>1627</v>
      </c>
      <c r="H603" t="str">
        <f t="shared" si="9"/>
        <v>REDE 19 - BANDEIRA 19 - LOJA 603</v>
      </c>
      <c r="I603">
        <v>1</v>
      </c>
      <c r="J603" t="s">
        <v>26</v>
      </c>
      <c r="K603">
        <v>1</v>
      </c>
      <c r="L603" t="s">
        <v>1344</v>
      </c>
      <c r="M603">
        <v>13</v>
      </c>
      <c r="N603" t="s">
        <v>1221</v>
      </c>
      <c r="O603">
        <v>6</v>
      </c>
      <c r="P603" t="s">
        <v>1222</v>
      </c>
      <c r="Q603" t="s">
        <v>25</v>
      </c>
      <c r="R603">
        <v>3</v>
      </c>
      <c r="S603" t="s">
        <v>63</v>
      </c>
      <c r="T603">
        <v>74325010</v>
      </c>
      <c r="U603" s="1">
        <v>-167098735</v>
      </c>
      <c r="V603" s="1">
        <v>-493121257</v>
      </c>
      <c r="W603" t="s">
        <v>1345</v>
      </c>
      <c r="X603">
        <v>1</v>
      </c>
      <c r="Y603" t="s">
        <v>34</v>
      </c>
    </row>
    <row r="604" spans="1:25" x14ac:dyDescent="0.3">
      <c r="A604">
        <v>603</v>
      </c>
      <c r="B604">
        <v>604</v>
      </c>
      <c r="C604">
        <v>30695181000189</v>
      </c>
      <c r="D604">
        <v>19</v>
      </c>
      <c r="E604" t="s">
        <v>1590</v>
      </c>
      <c r="F604">
        <v>19</v>
      </c>
      <c r="G604" t="s">
        <v>1627</v>
      </c>
      <c r="H604" t="str">
        <f t="shared" si="9"/>
        <v>REDE 19 - BANDEIRA 19 - LOJA 604</v>
      </c>
      <c r="I604">
        <v>1</v>
      </c>
      <c r="J604" t="s">
        <v>26</v>
      </c>
      <c r="K604">
        <v>2</v>
      </c>
      <c r="L604" t="s">
        <v>1346</v>
      </c>
      <c r="M604">
        <v>13</v>
      </c>
      <c r="N604" t="s">
        <v>1221</v>
      </c>
      <c r="O604">
        <v>6</v>
      </c>
      <c r="P604" t="s">
        <v>1222</v>
      </c>
      <c r="Q604" t="s">
        <v>25</v>
      </c>
      <c r="R604">
        <v>3</v>
      </c>
      <c r="S604" t="s">
        <v>63</v>
      </c>
      <c r="T604">
        <v>74210200</v>
      </c>
      <c r="U604" s="1">
        <v>-166937385</v>
      </c>
      <c r="V604" s="1">
        <v>-492747371</v>
      </c>
      <c r="W604" t="s">
        <v>1319</v>
      </c>
      <c r="X604">
        <v>1</v>
      </c>
      <c r="Y604" t="s">
        <v>34</v>
      </c>
    </row>
    <row r="605" spans="1:25" x14ac:dyDescent="0.3">
      <c r="A605">
        <v>604</v>
      </c>
      <c r="B605">
        <v>605</v>
      </c>
      <c r="C605">
        <v>32567359000131</v>
      </c>
      <c r="D605">
        <v>19</v>
      </c>
      <c r="E605" t="s">
        <v>1590</v>
      </c>
      <c r="F605">
        <v>19</v>
      </c>
      <c r="G605" t="s">
        <v>1627</v>
      </c>
      <c r="H605" t="str">
        <f t="shared" si="9"/>
        <v>REDE 19 - BANDEIRA 19 - LOJA 605</v>
      </c>
      <c r="I605">
        <v>1</v>
      </c>
      <c r="J605" t="s">
        <v>26</v>
      </c>
      <c r="K605">
        <v>1</v>
      </c>
      <c r="L605" t="s">
        <v>1347</v>
      </c>
      <c r="M605">
        <v>13</v>
      </c>
      <c r="N605" t="s">
        <v>1221</v>
      </c>
      <c r="O605">
        <v>6</v>
      </c>
      <c r="P605" t="s">
        <v>1222</v>
      </c>
      <c r="Q605" t="s">
        <v>25</v>
      </c>
      <c r="R605">
        <v>3</v>
      </c>
      <c r="S605" t="s">
        <v>63</v>
      </c>
      <c r="T605">
        <v>74280010</v>
      </c>
      <c r="U605" s="1">
        <v>-166892519</v>
      </c>
      <c r="V605" s="1">
        <v>-492357313</v>
      </c>
      <c r="W605" t="s">
        <v>1348</v>
      </c>
      <c r="X605">
        <v>1</v>
      </c>
      <c r="Y605" t="s">
        <v>34</v>
      </c>
    </row>
    <row r="606" spans="1:25" x14ac:dyDescent="0.3">
      <c r="A606">
        <v>605</v>
      </c>
      <c r="B606">
        <v>606</v>
      </c>
      <c r="C606">
        <v>33016679000166</v>
      </c>
      <c r="D606">
        <v>3</v>
      </c>
      <c r="E606" t="s">
        <v>1574</v>
      </c>
      <c r="F606">
        <v>3</v>
      </c>
      <c r="G606" t="s">
        <v>1611</v>
      </c>
      <c r="H606" t="str">
        <f t="shared" si="9"/>
        <v>REDE 3 - BANDEIRA 3 - LOJA 606</v>
      </c>
      <c r="I606">
        <v>1</v>
      </c>
      <c r="J606" t="s">
        <v>26</v>
      </c>
      <c r="K606">
        <v>1</v>
      </c>
      <c r="L606" t="s">
        <v>1301</v>
      </c>
      <c r="M606">
        <v>13</v>
      </c>
      <c r="N606" t="s">
        <v>1221</v>
      </c>
      <c r="O606">
        <v>6</v>
      </c>
      <c r="P606" t="s">
        <v>1222</v>
      </c>
      <c r="Q606" t="s">
        <v>25</v>
      </c>
      <c r="R606">
        <v>3</v>
      </c>
      <c r="S606" t="s">
        <v>63</v>
      </c>
      <c r="T606">
        <v>74810100</v>
      </c>
      <c r="U606" s="1">
        <v>-167069836</v>
      </c>
      <c r="V606" s="1">
        <v>-492377174</v>
      </c>
      <c r="W606" t="s">
        <v>1303</v>
      </c>
      <c r="X606">
        <v>1</v>
      </c>
      <c r="Y606" t="s">
        <v>34</v>
      </c>
    </row>
    <row r="607" spans="1:25" x14ac:dyDescent="0.3">
      <c r="A607">
        <v>606</v>
      </c>
      <c r="B607">
        <v>607</v>
      </c>
      <c r="C607">
        <v>33073171000108</v>
      </c>
      <c r="D607">
        <v>19</v>
      </c>
      <c r="E607" t="s">
        <v>1590</v>
      </c>
      <c r="F607">
        <v>19</v>
      </c>
      <c r="G607" t="s">
        <v>1627</v>
      </c>
      <c r="H607" t="str">
        <f t="shared" si="9"/>
        <v>REDE 19 - BANDEIRA 19 - LOJA 607</v>
      </c>
      <c r="I607">
        <v>1</v>
      </c>
      <c r="J607" t="s">
        <v>26</v>
      </c>
      <c r="K607">
        <v>2</v>
      </c>
      <c r="L607" t="s">
        <v>1349</v>
      </c>
      <c r="M607">
        <v>13</v>
      </c>
      <c r="N607" t="s">
        <v>1221</v>
      </c>
      <c r="O607">
        <v>6</v>
      </c>
      <c r="P607" t="s">
        <v>1222</v>
      </c>
      <c r="Q607" t="s">
        <v>25</v>
      </c>
      <c r="R607">
        <v>3</v>
      </c>
      <c r="S607" t="s">
        <v>63</v>
      </c>
      <c r="T607">
        <v>74835090</v>
      </c>
      <c r="U607" s="1">
        <v>-167150021</v>
      </c>
      <c r="V607" s="1">
        <v>-492668806</v>
      </c>
      <c r="W607" t="s">
        <v>1350</v>
      </c>
      <c r="X607">
        <v>1</v>
      </c>
      <c r="Y607" t="s">
        <v>34</v>
      </c>
    </row>
    <row r="608" spans="1:25" x14ac:dyDescent="0.3">
      <c r="A608">
        <v>607</v>
      </c>
      <c r="B608">
        <v>608</v>
      </c>
      <c r="C608">
        <v>33221362000161</v>
      </c>
      <c r="D608">
        <v>19</v>
      </c>
      <c r="E608" t="s">
        <v>1590</v>
      </c>
      <c r="F608">
        <v>19</v>
      </c>
      <c r="G608" t="s">
        <v>1627</v>
      </c>
      <c r="H608" t="str">
        <f t="shared" si="9"/>
        <v>REDE 19 - BANDEIRA 19 - LOJA 608</v>
      </c>
      <c r="I608">
        <v>1</v>
      </c>
      <c r="J608" t="s">
        <v>26</v>
      </c>
      <c r="K608">
        <v>2</v>
      </c>
      <c r="L608" t="s">
        <v>1226</v>
      </c>
      <c r="M608">
        <v>13</v>
      </c>
      <c r="N608" t="s">
        <v>1221</v>
      </c>
      <c r="O608">
        <v>6</v>
      </c>
      <c r="P608" t="s">
        <v>1222</v>
      </c>
      <c r="Q608" t="s">
        <v>25</v>
      </c>
      <c r="R608">
        <v>3</v>
      </c>
      <c r="S608" t="s">
        <v>63</v>
      </c>
      <c r="T608">
        <v>74565250</v>
      </c>
      <c r="U608" s="1">
        <v>-166344182</v>
      </c>
      <c r="V608" s="1">
        <v>-492725256</v>
      </c>
      <c r="W608" t="s">
        <v>1351</v>
      </c>
      <c r="X608">
        <v>1</v>
      </c>
      <c r="Y608" t="s">
        <v>34</v>
      </c>
    </row>
    <row r="609" spans="1:25" x14ac:dyDescent="0.3">
      <c r="A609">
        <v>608</v>
      </c>
      <c r="B609">
        <v>609</v>
      </c>
      <c r="C609">
        <v>33253738000110</v>
      </c>
      <c r="D609">
        <v>19</v>
      </c>
      <c r="E609" t="s">
        <v>1590</v>
      </c>
      <c r="F609">
        <v>19</v>
      </c>
      <c r="G609" t="s">
        <v>1627</v>
      </c>
      <c r="H609" t="str">
        <f t="shared" si="9"/>
        <v>REDE 19 - BANDEIRA 19 - LOJA 609</v>
      </c>
      <c r="I609">
        <v>1</v>
      </c>
      <c r="J609" t="s">
        <v>26</v>
      </c>
      <c r="K609">
        <v>2</v>
      </c>
      <c r="L609" t="s">
        <v>1352</v>
      </c>
      <c r="M609">
        <v>13</v>
      </c>
      <c r="N609" t="s">
        <v>1221</v>
      </c>
      <c r="O609">
        <v>6</v>
      </c>
      <c r="P609" t="s">
        <v>1222</v>
      </c>
      <c r="Q609" t="s">
        <v>25</v>
      </c>
      <c r="R609">
        <v>3</v>
      </c>
      <c r="S609" t="s">
        <v>63</v>
      </c>
      <c r="T609">
        <v>74769790</v>
      </c>
      <c r="U609" s="1">
        <v>-166566883</v>
      </c>
      <c r="V609" s="1">
        <v>-491803802</v>
      </c>
      <c r="W609" t="s">
        <v>1353</v>
      </c>
      <c r="X609">
        <v>1</v>
      </c>
      <c r="Y609" t="s">
        <v>34</v>
      </c>
    </row>
    <row r="610" spans="1:25" x14ac:dyDescent="0.3">
      <c r="A610">
        <v>609</v>
      </c>
      <c r="B610">
        <v>610</v>
      </c>
      <c r="C610">
        <v>33460683000119</v>
      </c>
      <c r="D610">
        <v>3</v>
      </c>
      <c r="E610" t="s">
        <v>1574</v>
      </c>
      <c r="F610">
        <v>3</v>
      </c>
      <c r="G610" t="s">
        <v>1611</v>
      </c>
      <c r="H610" t="str">
        <f t="shared" si="9"/>
        <v>REDE 3 - BANDEIRA 3 - LOJA 610</v>
      </c>
      <c r="I610">
        <v>1</v>
      </c>
      <c r="J610" t="s">
        <v>26</v>
      </c>
      <c r="K610">
        <v>1</v>
      </c>
      <c r="L610" t="s">
        <v>1354</v>
      </c>
      <c r="M610">
        <v>13</v>
      </c>
      <c r="N610" t="s">
        <v>1221</v>
      </c>
      <c r="O610">
        <v>6</v>
      </c>
      <c r="P610" t="s">
        <v>1222</v>
      </c>
      <c r="Q610" t="s">
        <v>25</v>
      </c>
      <c r="R610">
        <v>3</v>
      </c>
      <c r="S610" t="s">
        <v>63</v>
      </c>
      <c r="T610">
        <v>74175020</v>
      </c>
      <c r="U610" s="1">
        <v>-166998607</v>
      </c>
      <c r="V610" s="1">
        <v>-4925623100000000</v>
      </c>
      <c r="W610" t="s">
        <v>1355</v>
      </c>
      <c r="X610">
        <v>1</v>
      </c>
      <c r="Y610" t="s">
        <v>34</v>
      </c>
    </row>
    <row r="611" spans="1:25" x14ac:dyDescent="0.3">
      <c r="A611">
        <v>610</v>
      </c>
      <c r="B611">
        <v>611</v>
      </c>
      <c r="C611">
        <v>33907522000120</v>
      </c>
      <c r="D611">
        <v>19</v>
      </c>
      <c r="E611" t="s">
        <v>1590</v>
      </c>
      <c r="F611">
        <v>19</v>
      </c>
      <c r="G611" t="s">
        <v>1627</v>
      </c>
      <c r="H611" t="str">
        <f t="shared" si="9"/>
        <v>REDE 19 - BANDEIRA 19 - LOJA 611</v>
      </c>
      <c r="I611">
        <v>1</v>
      </c>
      <c r="J611" t="s">
        <v>26</v>
      </c>
      <c r="K611">
        <v>2</v>
      </c>
      <c r="L611">
        <v>148</v>
      </c>
      <c r="M611">
        <v>13</v>
      </c>
      <c r="N611" t="s">
        <v>1221</v>
      </c>
      <c r="O611">
        <v>6</v>
      </c>
      <c r="P611" t="s">
        <v>1222</v>
      </c>
      <c r="Q611" t="s">
        <v>25</v>
      </c>
      <c r="R611">
        <v>3</v>
      </c>
      <c r="S611" t="s">
        <v>63</v>
      </c>
      <c r="T611">
        <v>74170110</v>
      </c>
      <c r="U611" s="1">
        <v>-166955782</v>
      </c>
      <c r="V611" s="1">
        <v>-492598345</v>
      </c>
      <c r="W611" t="s">
        <v>1355</v>
      </c>
      <c r="X611">
        <v>1</v>
      </c>
      <c r="Y611" t="s">
        <v>34</v>
      </c>
    </row>
    <row r="612" spans="1:25" x14ac:dyDescent="0.3">
      <c r="A612">
        <v>611</v>
      </c>
      <c r="B612">
        <v>612</v>
      </c>
      <c r="C612">
        <v>34378728000173</v>
      </c>
      <c r="D612">
        <v>19</v>
      </c>
      <c r="E612" t="s">
        <v>1590</v>
      </c>
      <c r="F612">
        <v>19</v>
      </c>
      <c r="G612" t="s">
        <v>1627</v>
      </c>
      <c r="H612" t="str">
        <f t="shared" si="9"/>
        <v>REDE 19 - BANDEIRA 19 - LOJA 612</v>
      </c>
      <c r="I612">
        <v>1</v>
      </c>
      <c r="J612" t="s">
        <v>26</v>
      </c>
      <c r="K612">
        <v>2</v>
      </c>
      <c r="L612" t="s">
        <v>1356</v>
      </c>
      <c r="M612">
        <v>13</v>
      </c>
      <c r="N612" t="s">
        <v>1221</v>
      </c>
      <c r="O612">
        <v>6</v>
      </c>
      <c r="P612" t="s">
        <v>1222</v>
      </c>
      <c r="Q612" t="s">
        <v>25</v>
      </c>
      <c r="R612">
        <v>3</v>
      </c>
      <c r="S612" t="s">
        <v>63</v>
      </c>
      <c r="T612">
        <v>74250030</v>
      </c>
      <c r="U612" s="1">
        <v>-167145971</v>
      </c>
      <c r="V612" s="1">
        <v>-492883732</v>
      </c>
      <c r="W612" t="s">
        <v>383</v>
      </c>
      <c r="X612">
        <v>1</v>
      </c>
      <c r="Y612" t="s">
        <v>34</v>
      </c>
    </row>
    <row r="613" spans="1:25" x14ac:dyDescent="0.3">
      <c r="A613">
        <v>612</v>
      </c>
      <c r="B613">
        <v>613</v>
      </c>
      <c r="C613">
        <v>35217367000146</v>
      </c>
      <c r="D613">
        <v>19</v>
      </c>
      <c r="E613" t="s">
        <v>1590</v>
      </c>
      <c r="F613">
        <v>19</v>
      </c>
      <c r="G613" t="s">
        <v>1627</v>
      </c>
      <c r="H613" t="str">
        <f t="shared" si="9"/>
        <v>REDE 19 - BANDEIRA 19 - LOJA 613</v>
      </c>
      <c r="I613">
        <v>1</v>
      </c>
      <c r="J613" t="s">
        <v>26</v>
      </c>
      <c r="K613">
        <v>2</v>
      </c>
      <c r="L613" t="s">
        <v>1357</v>
      </c>
      <c r="M613">
        <v>13</v>
      </c>
      <c r="N613" t="s">
        <v>1221</v>
      </c>
      <c r="O613">
        <v>6</v>
      </c>
      <c r="P613" t="s">
        <v>1222</v>
      </c>
      <c r="Q613" t="s">
        <v>25</v>
      </c>
      <c r="R613">
        <v>3</v>
      </c>
      <c r="S613" t="s">
        <v>63</v>
      </c>
      <c r="T613">
        <v>74485856</v>
      </c>
      <c r="U613" s="1">
        <v>-166889837</v>
      </c>
      <c r="V613" s="1">
        <v>-493379903</v>
      </c>
      <c r="W613" t="s">
        <v>1358</v>
      </c>
      <c r="X613">
        <v>1</v>
      </c>
      <c r="Y613" t="s">
        <v>34</v>
      </c>
    </row>
    <row r="614" spans="1:25" x14ac:dyDescent="0.3">
      <c r="A614">
        <v>613</v>
      </c>
      <c r="B614">
        <v>614</v>
      </c>
      <c r="C614">
        <v>35658549000152</v>
      </c>
      <c r="D614">
        <v>19</v>
      </c>
      <c r="E614" t="s">
        <v>1590</v>
      </c>
      <c r="F614">
        <v>19</v>
      </c>
      <c r="G614" t="s">
        <v>1627</v>
      </c>
      <c r="H614" t="str">
        <f t="shared" si="9"/>
        <v>REDE 19 - BANDEIRA 19 - LOJA 614</v>
      </c>
      <c r="I614">
        <v>1</v>
      </c>
      <c r="J614" t="s">
        <v>26</v>
      </c>
      <c r="K614">
        <v>2</v>
      </c>
      <c r="L614" t="s">
        <v>1359</v>
      </c>
      <c r="M614">
        <v>13</v>
      </c>
      <c r="N614" t="s">
        <v>1221</v>
      </c>
      <c r="O614">
        <v>6</v>
      </c>
      <c r="P614" t="s">
        <v>1222</v>
      </c>
      <c r="Q614" t="s">
        <v>25</v>
      </c>
      <c r="R614">
        <v>3</v>
      </c>
      <c r="S614" t="s">
        <v>63</v>
      </c>
      <c r="T614">
        <v>74645020</v>
      </c>
      <c r="U614" s="1">
        <v>-16664085</v>
      </c>
      <c r="V614" s="1">
        <v>-492460688</v>
      </c>
      <c r="W614" t="s">
        <v>1360</v>
      </c>
      <c r="X614">
        <v>1</v>
      </c>
      <c r="Y614" t="s">
        <v>34</v>
      </c>
    </row>
    <row r="615" spans="1:25" x14ac:dyDescent="0.3">
      <c r="A615">
        <v>614</v>
      </c>
      <c r="B615">
        <v>615</v>
      </c>
      <c r="C615">
        <v>37825410000181</v>
      </c>
      <c r="D615">
        <v>19</v>
      </c>
      <c r="E615" t="s">
        <v>1590</v>
      </c>
      <c r="F615">
        <v>19</v>
      </c>
      <c r="G615" t="s">
        <v>1627</v>
      </c>
      <c r="H615" t="str">
        <f t="shared" si="9"/>
        <v>REDE 19 - BANDEIRA 19 - LOJA 615</v>
      </c>
      <c r="I615">
        <v>1</v>
      </c>
      <c r="J615" t="s">
        <v>26</v>
      </c>
      <c r="K615">
        <v>2</v>
      </c>
      <c r="L615">
        <v>9</v>
      </c>
      <c r="M615">
        <v>13</v>
      </c>
      <c r="N615" t="s">
        <v>1221</v>
      </c>
      <c r="O615">
        <v>6</v>
      </c>
      <c r="P615" t="s">
        <v>1222</v>
      </c>
      <c r="Q615" t="s">
        <v>25</v>
      </c>
      <c r="R615">
        <v>3</v>
      </c>
      <c r="S615" t="s">
        <v>63</v>
      </c>
      <c r="T615">
        <v>74120010</v>
      </c>
      <c r="U615" s="1">
        <v>-166898491</v>
      </c>
      <c r="V615" s="1">
        <v>-492662017</v>
      </c>
      <c r="W615" t="s">
        <v>1361</v>
      </c>
      <c r="X615">
        <v>1</v>
      </c>
      <c r="Y615" t="s">
        <v>34</v>
      </c>
    </row>
    <row r="616" spans="1:25" x14ac:dyDescent="0.3">
      <c r="A616">
        <v>615</v>
      </c>
      <c r="B616">
        <v>616</v>
      </c>
      <c r="C616">
        <v>37957092000102</v>
      </c>
      <c r="D616">
        <v>19</v>
      </c>
      <c r="E616" t="s">
        <v>1590</v>
      </c>
      <c r="F616">
        <v>19</v>
      </c>
      <c r="G616" t="s">
        <v>1627</v>
      </c>
      <c r="H616" t="str">
        <f t="shared" si="9"/>
        <v>REDE 19 - BANDEIRA 19 - LOJA 616</v>
      </c>
      <c r="I616">
        <v>1</v>
      </c>
      <c r="J616" t="s">
        <v>26</v>
      </c>
      <c r="K616">
        <v>2</v>
      </c>
      <c r="L616" t="s">
        <v>1362</v>
      </c>
      <c r="M616">
        <v>13</v>
      </c>
      <c r="N616" t="s">
        <v>1221</v>
      </c>
      <c r="O616">
        <v>6</v>
      </c>
      <c r="P616" t="s">
        <v>1222</v>
      </c>
      <c r="Q616" t="s">
        <v>25</v>
      </c>
      <c r="R616">
        <v>3</v>
      </c>
      <c r="S616" t="s">
        <v>63</v>
      </c>
      <c r="T616">
        <v>74670600</v>
      </c>
      <c r="U616" s="1">
        <v>-166410481</v>
      </c>
      <c r="V616" s="1">
        <v>-492400279</v>
      </c>
      <c r="W616" t="s">
        <v>1363</v>
      </c>
      <c r="X616">
        <v>1</v>
      </c>
      <c r="Y616" t="s">
        <v>34</v>
      </c>
    </row>
    <row r="617" spans="1:25" x14ac:dyDescent="0.3">
      <c r="A617">
        <v>616</v>
      </c>
      <c r="B617">
        <v>617</v>
      </c>
      <c r="C617">
        <v>39773698000113</v>
      </c>
      <c r="D617">
        <v>3</v>
      </c>
      <c r="E617" t="s">
        <v>1574</v>
      </c>
      <c r="F617">
        <v>3</v>
      </c>
      <c r="G617" t="s">
        <v>1611</v>
      </c>
      <c r="H617" t="str">
        <f t="shared" si="9"/>
        <v>REDE 3 - BANDEIRA 3 - LOJA 617</v>
      </c>
      <c r="I617">
        <v>1</v>
      </c>
      <c r="J617" t="s">
        <v>26</v>
      </c>
      <c r="K617">
        <v>1</v>
      </c>
      <c r="L617">
        <v>6</v>
      </c>
      <c r="M617">
        <v>13</v>
      </c>
      <c r="N617" t="s">
        <v>1221</v>
      </c>
      <c r="O617">
        <v>6</v>
      </c>
      <c r="P617" t="s">
        <v>1222</v>
      </c>
      <c r="Q617" t="s">
        <v>25</v>
      </c>
      <c r="R617">
        <v>3</v>
      </c>
      <c r="S617" t="s">
        <v>63</v>
      </c>
      <c r="T617">
        <v>74115070</v>
      </c>
      <c r="U617" s="1">
        <v>-166833855</v>
      </c>
      <c r="V617" s="1">
        <v>-4926634079999990</v>
      </c>
      <c r="W617" t="s">
        <v>1361</v>
      </c>
      <c r="X617">
        <v>1</v>
      </c>
      <c r="Y617" t="s">
        <v>34</v>
      </c>
    </row>
    <row r="618" spans="1:25" x14ac:dyDescent="0.3">
      <c r="A618">
        <v>617</v>
      </c>
      <c r="B618">
        <v>618</v>
      </c>
      <c r="C618">
        <v>40039640000120</v>
      </c>
      <c r="D618">
        <v>19</v>
      </c>
      <c r="E618" t="s">
        <v>1590</v>
      </c>
      <c r="F618">
        <v>19</v>
      </c>
      <c r="G618" t="s">
        <v>1627</v>
      </c>
      <c r="H618" t="str">
        <f t="shared" si="9"/>
        <v>REDE 19 - BANDEIRA 19 - LOJA 618</v>
      </c>
      <c r="I618">
        <v>1</v>
      </c>
      <c r="J618" t="s">
        <v>26</v>
      </c>
      <c r="K618">
        <v>1</v>
      </c>
      <c r="L618" t="s">
        <v>1364</v>
      </c>
      <c r="M618">
        <v>13</v>
      </c>
      <c r="N618" t="s">
        <v>1221</v>
      </c>
      <c r="O618">
        <v>6</v>
      </c>
      <c r="P618" t="s">
        <v>1222</v>
      </c>
      <c r="Q618" t="s">
        <v>25</v>
      </c>
      <c r="R618">
        <v>3</v>
      </c>
      <c r="S618" t="s">
        <v>63</v>
      </c>
      <c r="T618">
        <v>74810030</v>
      </c>
      <c r="U618" s="1">
        <v>-16700944</v>
      </c>
      <c r="V618" s="1">
        <v>-492420303</v>
      </c>
      <c r="W618" t="s">
        <v>1365</v>
      </c>
      <c r="X618">
        <v>1</v>
      </c>
      <c r="Y618" t="s">
        <v>34</v>
      </c>
    </row>
    <row r="619" spans="1:25" x14ac:dyDescent="0.3">
      <c r="A619">
        <v>618</v>
      </c>
      <c r="B619">
        <v>619</v>
      </c>
      <c r="C619">
        <v>40724765000199</v>
      </c>
      <c r="D619">
        <v>3</v>
      </c>
      <c r="E619" t="s">
        <v>1574</v>
      </c>
      <c r="F619">
        <v>3</v>
      </c>
      <c r="G619" t="s">
        <v>1611</v>
      </c>
      <c r="H619" t="str">
        <f t="shared" si="9"/>
        <v>REDE 3 - BANDEIRA 3 - LOJA 619</v>
      </c>
      <c r="I619">
        <v>1</v>
      </c>
      <c r="J619" t="s">
        <v>26</v>
      </c>
      <c r="K619">
        <v>1</v>
      </c>
      <c r="L619" t="s">
        <v>1366</v>
      </c>
      <c r="M619">
        <v>13</v>
      </c>
      <c r="N619" t="s">
        <v>1221</v>
      </c>
      <c r="O619">
        <v>6</v>
      </c>
      <c r="P619" t="s">
        <v>1222</v>
      </c>
      <c r="Q619" t="s">
        <v>25</v>
      </c>
      <c r="R619">
        <v>3</v>
      </c>
      <c r="S619" t="s">
        <v>63</v>
      </c>
      <c r="T619">
        <v>74230030</v>
      </c>
      <c r="U619" s="1">
        <v>-167099146</v>
      </c>
      <c r="V619" s="1">
        <v>-492672898</v>
      </c>
      <c r="W619" t="s">
        <v>1367</v>
      </c>
      <c r="X619">
        <v>1</v>
      </c>
      <c r="Y619" t="s">
        <v>34</v>
      </c>
    </row>
    <row r="620" spans="1:25" x14ac:dyDescent="0.3">
      <c r="A620">
        <v>619</v>
      </c>
      <c r="B620">
        <v>620</v>
      </c>
      <c r="C620">
        <v>40910526000123</v>
      </c>
      <c r="D620">
        <v>3</v>
      </c>
      <c r="E620" t="s">
        <v>1574</v>
      </c>
      <c r="F620">
        <v>3</v>
      </c>
      <c r="G620" t="s">
        <v>1611</v>
      </c>
      <c r="H620" t="str">
        <f t="shared" si="9"/>
        <v>REDE 3 - BANDEIRA 3 - LOJA 620</v>
      </c>
      <c r="I620">
        <v>1</v>
      </c>
      <c r="J620" t="s">
        <v>26</v>
      </c>
      <c r="K620">
        <v>1</v>
      </c>
      <c r="L620">
        <v>9</v>
      </c>
      <c r="M620">
        <v>13</v>
      </c>
      <c r="N620" t="s">
        <v>1221</v>
      </c>
      <c r="O620">
        <v>6</v>
      </c>
      <c r="P620" t="s">
        <v>1222</v>
      </c>
      <c r="Q620" t="s">
        <v>25</v>
      </c>
      <c r="R620">
        <v>3</v>
      </c>
      <c r="S620" t="s">
        <v>63</v>
      </c>
      <c r="T620">
        <v>74150130</v>
      </c>
      <c r="U620" s="1">
        <v>-16695228</v>
      </c>
      <c r="V620" s="1">
        <v>-492652932</v>
      </c>
      <c r="W620" t="s">
        <v>1355</v>
      </c>
      <c r="X620">
        <v>1</v>
      </c>
      <c r="Y620" t="s">
        <v>34</v>
      </c>
    </row>
    <row r="621" spans="1:25" x14ac:dyDescent="0.3">
      <c r="A621">
        <v>620</v>
      </c>
      <c r="B621">
        <v>621</v>
      </c>
      <c r="C621">
        <v>43227303000154</v>
      </c>
      <c r="D621">
        <v>19</v>
      </c>
      <c r="E621" t="s">
        <v>1590</v>
      </c>
      <c r="F621">
        <v>19</v>
      </c>
      <c r="G621" t="s">
        <v>1627</v>
      </c>
      <c r="H621" t="str">
        <f t="shared" si="9"/>
        <v>REDE 19 - BANDEIRA 19 - LOJA 621</v>
      </c>
      <c r="I621">
        <v>1</v>
      </c>
      <c r="J621" t="s">
        <v>26</v>
      </c>
      <c r="K621">
        <v>2</v>
      </c>
      <c r="L621" t="s">
        <v>1368</v>
      </c>
      <c r="M621">
        <v>13</v>
      </c>
      <c r="N621" t="s">
        <v>1221</v>
      </c>
      <c r="O621">
        <v>6</v>
      </c>
      <c r="P621" t="s">
        <v>1222</v>
      </c>
      <c r="Q621" t="s">
        <v>25</v>
      </c>
      <c r="R621">
        <v>3</v>
      </c>
      <c r="S621" t="s">
        <v>63</v>
      </c>
      <c r="T621">
        <v>74705280</v>
      </c>
      <c r="U621" s="1">
        <v>-166709512</v>
      </c>
      <c r="V621" s="1">
        <v>-492190294</v>
      </c>
      <c r="W621" t="s">
        <v>1369</v>
      </c>
      <c r="X621">
        <v>1</v>
      </c>
      <c r="Y621" t="s">
        <v>34</v>
      </c>
    </row>
    <row r="622" spans="1:25" x14ac:dyDescent="0.3">
      <c r="A622">
        <v>621</v>
      </c>
      <c r="B622">
        <v>622</v>
      </c>
      <c r="C622">
        <v>43921644000125</v>
      </c>
      <c r="D622">
        <v>19</v>
      </c>
      <c r="E622" t="s">
        <v>1590</v>
      </c>
      <c r="F622">
        <v>19</v>
      </c>
      <c r="G622" t="s">
        <v>1627</v>
      </c>
      <c r="H622" t="str">
        <f t="shared" si="9"/>
        <v>REDE 19 - BANDEIRA 19 - LOJA 622</v>
      </c>
      <c r="I622">
        <v>1</v>
      </c>
      <c r="J622" t="s">
        <v>26</v>
      </c>
      <c r="K622">
        <v>2</v>
      </c>
      <c r="L622" t="s">
        <v>1370</v>
      </c>
      <c r="M622">
        <v>13</v>
      </c>
      <c r="N622" t="s">
        <v>1221</v>
      </c>
      <c r="O622">
        <v>6</v>
      </c>
      <c r="P622" t="s">
        <v>1222</v>
      </c>
      <c r="Q622" t="s">
        <v>25</v>
      </c>
      <c r="R622">
        <v>3</v>
      </c>
      <c r="S622" t="s">
        <v>63</v>
      </c>
      <c r="T622">
        <v>74863127</v>
      </c>
      <c r="U622" s="1">
        <v>-167293938</v>
      </c>
      <c r="V622" s="1">
        <v>-492316184</v>
      </c>
      <c r="W622" t="s">
        <v>1371</v>
      </c>
      <c r="X622">
        <v>1</v>
      </c>
      <c r="Y622" t="s">
        <v>34</v>
      </c>
    </row>
    <row r="623" spans="1:25" x14ac:dyDescent="0.3">
      <c r="A623">
        <v>622</v>
      </c>
      <c r="B623">
        <v>623</v>
      </c>
      <c r="C623">
        <v>44650925000153</v>
      </c>
      <c r="D623">
        <v>19</v>
      </c>
      <c r="E623" t="s">
        <v>1590</v>
      </c>
      <c r="F623">
        <v>19</v>
      </c>
      <c r="G623" t="s">
        <v>1627</v>
      </c>
      <c r="H623" t="str">
        <f t="shared" si="9"/>
        <v>REDE 19 - BANDEIRA 19 - LOJA 623</v>
      </c>
      <c r="I623">
        <v>1</v>
      </c>
      <c r="J623" t="s">
        <v>26</v>
      </c>
      <c r="K623">
        <v>2</v>
      </c>
      <c r="L623" t="s">
        <v>1304</v>
      </c>
      <c r="M623">
        <v>13</v>
      </c>
      <c r="N623" t="s">
        <v>1221</v>
      </c>
      <c r="O623">
        <v>6</v>
      </c>
      <c r="P623" t="s">
        <v>1222</v>
      </c>
      <c r="Q623" t="s">
        <v>25</v>
      </c>
      <c r="R623">
        <v>3</v>
      </c>
      <c r="S623" t="s">
        <v>63</v>
      </c>
      <c r="T623">
        <v>74450010</v>
      </c>
      <c r="U623" s="1">
        <v>-166545456</v>
      </c>
      <c r="V623" s="1">
        <v>-493289954</v>
      </c>
      <c r="W623" t="s">
        <v>1372</v>
      </c>
      <c r="X623">
        <v>1</v>
      </c>
      <c r="Y623" t="s">
        <v>34</v>
      </c>
    </row>
    <row r="624" spans="1:25" x14ac:dyDescent="0.3">
      <c r="A624">
        <v>623</v>
      </c>
      <c r="B624">
        <v>624</v>
      </c>
      <c r="C624">
        <v>48161356000133</v>
      </c>
      <c r="D624">
        <v>3</v>
      </c>
      <c r="E624" t="s">
        <v>1574</v>
      </c>
      <c r="F624">
        <v>3</v>
      </c>
      <c r="G624" t="s">
        <v>1611</v>
      </c>
      <c r="H624" t="str">
        <f t="shared" si="9"/>
        <v>REDE 3 - BANDEIRA 3 - LOJA 624</v>
      </c>
      <c r="I624">
        <v>1</v>
      </c>
      <c r="J624" t="s">
        <v>26</v>
      </c>
      <c r="K624">
        <v>1</v>
      </c>
      <c r="L624" t="s">
        <v>1373</v>
      </c>
      <c r="M624">
        <v>13</v>
      </c>
      <c r="N624" t="s">
        <v>1221</v>
      </c>
      <c r="O624">
        <v>6</v>
      </c>
      <c r="P624" t="s">
        <v>1222</v>
      </c>
      <c r="Q624" t="s">
        <v>25</v>
      </c>
      <c r="R624">
        <v>3</v>
      </c>
      <c r="S624" t="s">
        <v>63</v>
      </c>
      <c r="T624">
        <v>74593841</v>
      </c>
      <c r="U624" s="1">
        <v>-166366917</v>
      </c>
      <c r="V624" s="1">
        <v>-492833</v>
      </c>
      <c r="W624" t="s">
        <v>1374</v>
      </c>
      <c r="X624">
        <v>1</v>
      </c>
      <c r="Y624" t="s">
        <v>34</v>
      </c>
    </row>
    <row r="625" spans="1:25" x14ac:dyDescent="0.3">
      <c r="A625">
        <v>624</v>
      </c>
      <c r="B625">
        <v>625</v>
      </c>
      <c r="C625">
        <v>48328162000180</v>
      </c>
      <c r="D625">
        <v>3</v>
      </c>
      <c r="E625" t="s">
        <v>1574</v>
      </c>
      <c r="F625">
        <v>3</v>
      </c>
      <c r="G625" t="s">
        <v>1611</v>
      </c>
      <c r="H625" t="str">
        <f t="shared" si="9"/>
        <v>REDE 3 - BANDEIRA 3 - LOJA 625</v>
      </c>
      <c r="I625">
        <v>1</v>
      </c>
      <c r="J625" t="s">
        <v>26</v>
      </c>
      <c r="K625">
        <v>1</v>
      </c>
      <c r="L625" t="s">
        <v>1375</v>
      </c>
      <c r="M625">
        <v>13</v>
      </c>
      <c r="N625" t="s">
        <v>1221</v>
      </c>
      <c r="O625">
        <v>6</v>
      </c>
      <c r="P625" t="s">
        <v>1222</v>
      </c>
      <c r="Q625" t="s">
        <v>25</v>
      </c>
      <c r="R625">
        <v>3</v>
      </c>
      <c r="S625" t="s">
        <v>63</v>
      </c>
      <c r="T625">
        <v>74223060</v>
      </c>
      <c r="U625" s="1">
        <v>-167079067</v>
      </c>
      <c r="V625" s="1">
        <v>-4927230300000000</v>
      </c>
      <c r="W625" t="s">
        <v>1367</v>
      </c>
      <c r="X625">
        <v>1</v>
      </c>
      <c r="Y625" t="s">
        <v>34</v>
      </c>
    </row>
    <row r="626" spans="1:25" x14ac:dyDescent="0.3">
      <c r="A626">
        <v>625</v>
      </c>
      <c r="B626">
        <v>626</v>
      </c>
      <c r="C626">
        <v>48427724000142</v>
      </c>
      <c r="D626">
        <v>19</v>
      </c>
      <c r="E626" t="s">
        <v>1590</v>
      </c>
      <c r="F626">
        <v>19</v>
      </c>
      <c r="G626" t="s">
        <v>1627</v>
      </c>
      <c r="H626" t="str">
        <f t="shared" si="9"/>
        <v>REDE 19 - BANDEIRA 19 - LOJA 626</v>
      </c>
      <c r="I626">
        <v>1</v>
      </c>
      <c r="J626" t="s">
        <v>26</v>
      </c>
      <c r="K626">
        <v>2</v>
      </c>
      <c r="L626" t="s">
        <v>1376</v>
      </c>
      <c r="M626">
        <v>13</v>
      </c>
      <c r="N626" t="s">
        <v>1221</v>
      </c>
      <c r="O626">
        <v>6</v>
      </c>
      <c r="P626" t="s">
        <v>1222</v>
      </c>
      <c r="Q626" t="s">
        <v>25</v>
      </c>
      <c r="R626">
        <v>3</v>
      </c>
      <c r="S626" t="s">
        <v>63</v>
      </c>
      <c r="T626">
        <v>74563270</v>
      </c>
      <c r="U626" s="1">
        <v>-166486859</v>
      </c>
      <c r="V626" s="1">
        <v>-492627238</v>
      </c>
      <c r="W626" t="s">
        <v>1377</v>
      </c>
      <c r="X626">
        <v>1</v>
      </c>
      <c r="Y626" t="s">
        <v>34</v>
      </c>
    </row>
    <row r="627" spans="1:25" x14ac:dyDescent="0.3">
      <c r="A627">
        <v>626</v>
      </c>
      <c r="B627">
        <v>627</v>
      </c>
      <c r="C627">
        <v>48690749000134</v>
      </c>
      <c r="D627">
        <v>19</v>
      </c>
      <c r="E627" t="s">
        <v>1590</v>
      </c>
      <c r="F627">
        <v>19</v>
      </c>
      <c r="G627" t="s">
        <v>1627</v>
      </c>
      <c r="H627" t="str">
        <f t="shared" si="9"/>
        <v>REDE 19 - BANDEIRA 19 - LOJA 627</v>
      </c>
      <c r="I627">
        <v>1</v>
      </c>
      <c r="J627" t="s">
        <v>26</v>
      </c>
      <c r="K627">
        <v>2</v>
      </c>
      <c r="L627" t="s">
        <v>1378</v>
      </c>
      <c r="M627">
        <v>13</v>
      </c>
      <c r="N627" t="s">
        <v>1221</v>
      </c>
      <c r="O627">
        <v>6</v>
      </c>
      <c r="P627" t="s">
        <v>1222</v>
      </c>
      <c r="Q627" t="s">
        <v>25</v>
      </c>
      <c r="R627">
        <v>3</v>
      </c>
      <c r="S627" t="s">
        <v>63</v>
      </c>
      <c r="T627">
        <v>74423250</v>
      </c>
      <c r="U627" s="1">
        <v>-16682802</v>
      </c>
      <c r="V627" s="1">
        <v>-493140936</v>
      </c>
      <c r="W627" t="s">
        <v>1379</v>
      </c>
      <c r="X627">
        <v>1</v>
      </c>
      <c r="Y627" t="s">
        <v>34</v>
      </c>
    </row>
    <row r="628" spans="1:25" x14ac:dyDescent="0.3">
      <c r="A628">
        <v>627</v>
      </c>
      <c r="B628">
        <v>628</v>
      </c>
      <c r="C628">
        <v>48933880000185</v>
      </c>
      <c r="D628">
        <v>19</v>
      </c>
      <c r="E628" t="s">
        <v>1590</v>
      </c>
      <c r="F628">
        <v>19</v>
      </c>
      <c r="G628" t="s">
        <v>1627</v>
      </c>
      <c r="H628" t="str">
        <f t="shared" si="9"/>
        <v>REDE 19 - BANDEIRA 19 - LOJA 628</v>
      </c>
      <c r="I628">
        <v>1</v>
      </c>
      <c r="J628" t="s">
        <v>26</v>
      </c>
      <c r="K628">
        <v>2</v>
      </c>
      <c r="L628" t="s">
        <v>1380</v>
      </c>
      <c r="M628">
        <v>13</v>
      </c>
      <c r="N628" t="s">
        <v>1221</v>
      </c>
      <c r="O628">
        <v>6</v>
      </c>
      <c r="P628" t="s">
        <v>1222</v>
      </c>
      <c r="Q628" t="s">
        <v>25</v>
      </c>
      <c r="R628">
        <v>3</v>
      </c>
      <c r="S628" t="s">
        <v>63</v>
      </c>
      <c r="T628">
        <v>74333010</v>
      </c>
      <c r="U628" s="1">
        <v>-167121572</v>
      </c>
      <c r="V628" s="1">
        <v>-493043763</v>
      </c>
      <c r="W628" t="s">
        <v>1381</v>
      </c>
      <c r="X628">
        <v>1</v>
      </c>
      <c r="Y628" t="s">
        <v>34</v>
      </c>
    </row>
    <row r="629" spans="1:25" x14ac:dyDescent="0.3">
      <c r="A629">
        <v>628</v>
      </c>
      <c r="B629">
        <v>629</v>
      </c>
      <c r="C629">
        <v>49859118000169</v>
      </c>
      <c r="D629">
        <v>19</v>
      </c>
      <c r="E629" t="s">
        <v>1590</v>
      </c>
      <c r="F629">
        <v>19</v>
      </c>
      <c r="G629" t="s">
        <v>1627</v>
      </c>
      <c r="H629" t="str">
        <f t="shared" si="9"/>
        <v>REDE 19 - BANDEIRA 19 - LOJA 629</v>
      </c>
      <c r="I629">
        <v>1</v>
      </c>
      <c r="J629" t="s">
        <v>26</v>
      </c>
      <c r="K629">
        <v>2</v>
      </c>
      <c r="L629" t="s">
        <v>1382</v>
      </c>
      <c r="M629">
        <v>13</v>
      </c>
      <c r="N629" t="s">
        <v>1221</v>
      </c>
      <c r="O629">
        <v>6</v>
      </c>
      <c r="P629" t="s">
        <v>1222</v>
      </c>
      <c r="Q629" t="s">
        <v>25</v>
      </c>
      <c r="R629">
        <v>3</v>
      </c>
      <c r="S629" t="s">
        <v>63</v>
      </c>
      <c r="T629">
        <v>74280285</v>
      </c>
      <c r="U629" s="1">
        <v>-167201244</v>
      </c>
      <c r="V629" s="1">
        <v>-492727828</v>
      </c>
      <c r="W629" t="s">
        <v>1383</v>
      </c>
      <c r="X629">
        <v>1</v>
      </c>
      <c r="Y629" t="s">
        <v>34</v>
      </c>
    </row>
    <row r="630" spans="1:25" x14ac:dyDescent="0.3">
      <c r="A630">
        <v>629</v>
      </c>
      <c r="B630">
        <v>630</v>
      </c>
      <c r="C630">
        <v>50475765000156</v>
      </c>
      <c r="D630">
        <v>19</v>
      </c>
      <c r="E630" t="s">
        <v>1590</v>
      </c>
      <c r="F630">
        <v>19</v>
      </c>
      <c r="G630" t="s">
        <v>1627</v>
      </c>
      <c r="H630" t="str">
        <f t="shared" si="9"/>
        <v>REDE 19 - BANDEIRA 19 - LOJA 630</v>
      </c>
      <c r="I630">
        <v>1</v>
      </c>
      <c r="J630" t="s">
        <v>26</v>
      </c>
      <c r="K630">
        <v>2</v>
      </c>
      <c r="L630" t="s">
        <v>1384</v>
      </c>
      <c r="M630">
        <v>13</v>
      </c>
      <c r="N630" t="s">
        <v>1221</v>
      </c>
      <c r="O630">
        <v>6</v>
      </c>
      <c r="P630" t="s">
        <v>1222</v>
      </c>
      <c r="Q630" t="s">
        <v>25</v>
      </c>
      <c r="R630">
        <v>3</v>
      </c>
      <c r="S630" t="s">
        <v>63</v>
      </c>
      <c r="T630">
        <v>74843590</v>
      </c>
      <c r="U630" s="1">
        <v>-167422778</v>
      </c>
      <c r="V630" s="1">
        <v>-49283814</v>
      </c>
      <c r="W630" t="s">
        <v>1385</v>
      </c>
      <c r="X630">
        <v>1</v>
      </c>
      <c r="Y630" t="s">
        <v>34</v>
      </c>
    </row>
    <row r="631" spans="1:25" x14ac:dyDescent="0.3">
      <c r="A631">
        <v>630</v>
      </c>
      <c r="B631">
        <v>631</v>
      </c>
      <c r="C631">
        <v>50476904000166</v>
      </c>
      <c r="D631">
        <v>19</v>
      </c>
      <c r="E631" t="s">
        <v>1590</v>
      </c>
      <c r="F631">
        <v>19</v>
      </c>
      <c r="G631" t="s">
        <v>1627</v>
      </c>
      <c r="H631" t="str">
        <f t="shared" si="9"/>
        <v>REDE 19 - BANDEIRA 19 - LOJA 631</v>
      </c>
      <c r="I631">
        <v>1</v>
      </c>
      <c r="J631" t="s">
        <v>26</v>
      </c>
      <c r="K631">
        <v>2</v>
      </c>
      <c r="L631" t="s">
        <v>1386</v>
      </c>
      <c r="M631">
        <v>13</v>
      </c>
      <c r="N631" t="s">
        <v>1221</v>
      </c>
      <c r="O631">
        <v>6</v>
      </c>
      <c r="P631" t="s">
        <v>1222</v>
      </c>
      <c r="Q631" t="s">
        <v>25</v>
      </c>
      <c r="R631">
        <v>3</v>
      </c>
      <c r="S631" t="s">
        <v>63</v>
      </c>
      <c r="T631">
        <v>74210190</v>
      </c>
      <c r="U631" s="1">
        <v>-166932921</v>
      </c>
      <c r="V631" s="1">
        <v>-4927691189999990</v>
      </c>
      <c r="W631" t="s">
        <v>1319</v>
      </c>
      <c r="X631">
        <v>1</v>
      </c>
      <c r="Y631" t="s">
        <v>34</v>
      </c>
    </row>
    <row r="632" spans="1:25" x14ac:dyDescent="0.3">
      <c r="A632">
        <v>631</v>
      </c>
      <c r="B632">
        <v>632</v>
      </c>
      <c r="C632">
        <v>50514460000106</v>
      </c>
      <c r="D632">
        <v>19</v>
      </c>
      <c r="E632" t="s">
        <v>1590</v>
      </c>
      <c r="F632">
        <v>19</v>
      </c>
      <c r="G632" t="s">
        <v>1627</v>
      </c>
      <c r="H632" t="str">
        <f t="shared" si="9"/>
        <v>REDE 19 - BANDEIRA 19 - LOJA 632</v>
      </c>
      <c r="I632">
        <v>1</v>
      </c>
      <c r="J632" t="s">
        <v>26</v>
      </c>
      <c r="K632">
        <v>2</v>
      </c>
      <c r="L632" t="s">
        <v>1387</v>
      </c>
      <c r="M632">
        <v>13</v>
      </c>
      <c r="N632" t="s">
        <v>1221</v>
      </c>
      <c r="O632">
        <v>6</v>
      </c>
      <c r="P632" t="s">
        <v>1222</v>
      </c>
      <c r="Q632" t="s">
        <v>25</v>
      </c>
      <c r="R632">
        <v>3</v>
      </c>
      <c r="S632" t="s">
        <v>63</v>
      </c>
      <c r="T632">
        <v>74843110</v>
      </c>
      <c r="U632" s="1">
        <v>-167328111</v>
      </c>
      <c r="V632" s="1">
        <v>-492884756</v>
      </c>
      <c r="W632" t="s">
        <v>1388</v>
      </c>
      <c r="X632">
        <v>1</v>
      </c>
      <c r="Y632" t="s">
        <v>34</v>
      </c>
    </row>
    <row r="633" spans="1:25" x14ac:dyDescent="0.3">
      <c r="A633">
        <v>632</v>
      </c>
      <c r="B633">
        <v>633</v>
      </c>
      <c r="C633">
        <v>50651860000163</v>
      </c>
      <c r="D633">
        <v>19</v>
      </c>
      <c r="E633" t="s">
        <v>1590</v>
      </c>
      <c r="F633">
        <v>19</v>
      </c>
      <c r="G633" t="s">
        <v>1627</v>
      </c>
      <c r="H633" t="str">
        <f t="shared" si="9"/>
        <v>REDE 19 - BANDEIRA 19 - LOJA 633</v>
      </c>
      <c r="I633">
        <v>1</v>
      </c>
      <c r="J633" t="s">
        <v>26</v>
      </c>
      <c r="K633">
        <v>2</v>
      </c>
      <c r="L633" t="s">
        <v>1366</v>
      </c>
      <c r="M633">
        <v>13</v>
      </c>
      <c r="N633" t="s">
        <v>1221</v>
      </c>
      <c r="O633">
        <v>6</v>
      </c>
      <c r="P633" t="s">
        <v>1222</v>
      </c>
      <c r="Q633" t="s">
        <v>25</v>
      </c>
      <c r="R633">
        <v>3</v>
      </c>
      <c r="S633" t="s">
        <v>63</v>
      </c>
      <c r="T633">
        <v>74835090</v>
      </c>
      <c r="U633" s="1">
        <v>-167206181</v>
      </c>
      <c r="V633" s="1">
        <v>-492668507</v>
      </c>
      <c r="W633" t="s">
        <v>1389</v>
      </c>
      <c r="X633">
        <v>1</v>
      </c>
      <c r="Y633" t="s">
        <v>34</v>
      </c>
    </row>
    <row r="634" spans="1:25" x14ac:dyDescent="0.3">
      <c r="A634">
        <v>633</v>
      </c>
      <c r="B634">
        <v>634</v>
      </c>
      <c r="C634">
        <v>51018710000180</v>
      </c>
      <c r="D634">
        <v>19</v>
      </c>
      <c r="E634" t="s">
        <v>1590</v>
      </c>
      <c r="F634">
        <v>19</v>
      </c>
      <c r="G634" t="s">
        <v>1627</v>
      </c>
      <c r="H634" t="str">
        <f t="shared" si="9"/>
        <v>REDE 19 - BANDEIRA 19 - LOJA 634</v>
      </c>
      <c r="I634">
        <v>1</v>
      </c>
      <c r="J634" t="s">
        <v>26</v>
      </c>
      <c r="K634">
        <v>2</v>
      </c>
      <c r="L634" t="s">
        <v>1390</v>
      </c>
      <c r="M634">
        <v>13</v>
      </c>
      <c r="N634" t="s">
        <v>1221</v>
      </c>
      <c r="O634">
        <v>6</v>
      </c>
      <c r="P634" t="s">
        <v>1222</v>
      </c>
      <c r="Q634" t="s">
        <v>25</v>
      </c>
      <c r="R634">
        <v>3</v>
      </c>
      <c r="S634" t="s">
        <v>63</v>
      </c>
      <c r="T634">
        <v>74560355</v>
      </c>
      <c r="U634" s="1">
        <v>-166563759</v>
      </c>
      <c r="V634" s="1">
        <v>-492718036</v>
      </c>
      <c r="W634" t="s">
        <v>1391</v>
      </c>
      <c r="X634">
        <v>1</v>
      </c>
      <c r="Y634" t="s">
        <v>34</v>
      </c>
    </row>
    <row r="635" spans="1:25" x14ac:dyDescent="0.3">
      <c r="A635">
        <v>634</v>
      </c>
      <c r="B635">
        <v>635</v>
      </c>
      <c r="C635">
        <v>51045356000182</v>
      </c>
      <c r="D635">
        <v>25</v>
      </c>
      <c r="E635" t="s">
        <v>1596</v>
      </c>
      <c r="F635">
        <v>25</v>
      </c>
      <c r="G635" t="s">
        <v>1633</v>
      </c>
      <c r="H635" t="str">
        <f t="shared" si="9"/>
        <v>REDE 25 - BANDEIRA 25 - LOJA 635</v>
      </c>
      <c r="I635">
        <v>1</v>
      </c>
      <c r="J635" t="s">
        <v>26</v>
      </c>
      <c r="K635">
        <v>1</v>
      </c>
      <c r="L635" t="s">
        <v>1392</v>
      </c>
      <c r="M635">
        <v>13</v>
      </c>
      <c r="N635" t="s">
        <v>1221</v>
      </c>
      <c r="O635">
        <v>6</v>
      </c>
      <c r="P635" t="s">
        <v>1222</v>
      </c>
      <c r="Q635" t="s">
        <v>25</v>
      </c>
      <c r="R635">
        <v>3</v>
      </c>
      <c r="S635" t="s">
        <v>63</v>
      </c>
      <c r="T635">
        <v>74120160</v>
      </c>
      <c r="U635" s="1">
        <v>-166881168</v>
      </c>
      <c r="V635" s="1">
        <v>-492632485</v>
      </c>
      <c r="W635" t="s">
        <v>1361</v>
      </c>
      <c r="X635">
        <v>1</v>
      </c>
      <c r="Y635" t="s">
        <v>34</v>
      </c>
    </row>
    <row r="636" spans="1:25" x14ac:dyDescent="0.3">
      <c r="A636">
        <v>635</v>
      </c>
      <c r="B636">
        <v>636</v>
      </c>
      <c r="C636">
        <v>51338384000198</v>
      </c>
      <c r="D636">
        <v>19</v>
      </c>
      <c r="E636" t="s">
        <v>1590</v>
      </c>
      <c r="F636">
        <v>19</v>
      </c>
      <c r="G636" t="s">
        <v>1627</v>
      </c>
      <c r="H636" t="str">
        <f t="shared" si="9"/>
        <v>REDE 19 - BANDEIRA 19 - LOJA 636</v>
      </c>
      <c r="I636">
        <v>1</v>
      </c>
      <c r="J636" t="s">
        <v>26</v>
      </c>
      <c r="K636">
        <v>2</v>
      </c>
      <c r="L636" t="s">
        <v>1393</v>
      </c>
      <c r="M636">
        <v>13</v>
      </c>
      <c r="N636" t="s">
        <v>1221</v>
      </c>
      <c r="O636">
        <v>6</v>
      </c>
      <c r="P636" t="s">
        <v>1222</v>
      </c>
      <c r="Q636" t="s">
        <v>25</v>
      </c>
      <c r="R636">
        <v>3</v>
      </c>
      <c r="S636" t="s">
        <v>63</v>
      </c>
      <c r="T636">
        <v>74223070</v>
      </c>
      <c r="U636" s="1">
        <v>-167068109</v>
      </c>
      <c r="V636" s="1">
        <v>-492691739</v>
      </c>
      <c r="W636" t="s">
        <v>1367</v>
      </c>
      <c r="X636">
        <v>1</v>
      </c>
      <c r="Y636" t="s">
        <v>34</v>
      </c>
    </row>
    <row r="637" spans="1:25" x14ac:dyDescent="0.3">
      <c r="A637">
        <v>636</v>
      </c>
      <c r="B637">
        <v>637</v>
      </c>
      <c r="C637">
        <v>51970202000105</v>
      </c>
      <c r="D637">
        <v>19</v>
      </c>
      <c r="E637" t="s">
        <v>1590</v>
      </c>
      <c r="F637">
        <v>19</v>
      </c>
      <c r="G637" t="s">
        <v>1627</v>
      </c>
      <c r="H637" t="str">
        <f t="shared" si="9"/>
        <v>REDE 19 - BANDEIRA 19 - LOJA 637</v>
      </c>
      <c r="I637">
        <v>1</v>
      </c>
      <c r="J637" t="s">
        <v>26</v>
      </c>
      <c r="K637">
        <v>2</v>
      </c>
      <c r="L637" t="s">
        <v>1394</v>
      </c>
      <c r="M637">
        <v>13</v>
      </c>
      <c r="N637" t="s">
        <v>1221</v>
      </c>
      <c r="O637">
        <v>6</v>
      </c>
      <c r="P637" t="s">
        <v>1222</v>
      </c>
      <c r="Q637" t="s">
        <v>25</v>
      </c>
      <c r="R637">
        <v>3</v>
      </c>
      <c r="S637" t="s">
        <v>63</v>
      </c>
      <c r="T637">
        <v>74563140</v>
      </c>
      <c r="U637" s="1">
        <v>-166511041</v>
      </c>
      <c r="V637" s="1">
        <v>-492663699</v>
      </c>
      <c r="W637" t="s">
        <v>1395</v>
      </c>
      <c r="X637">
        <v>1</v>
      </c>
      <c r="Y637" t="s">
        <v>34</v>
      </c>
    </row>
    <row r="638" spans="1:25" x14ac:dyDescent="0.3">
      <c r="A638">
        <v>637</v>
      </c>
      <c r="B638">
        <v>638</v>
      </c>
      <c r="C638">
        <v>52451645000144</v>
      </c>
      <c r="D638">
        <v>19</v>
      </c>
      <c r="E638" t="s">
        <v>1590</v>
      </c>
      <c r="F638">
        <v>19</v>
      </c>
      <c r="G638" t="s">
        <v>1627</v>
      </c>
      <c r="H638" t="str">
        <f t="shared" si="9"/>
        <v>REDE 19 - BANDEIRA 19 - LOJA 638</v>
      </c>
      <c r="I638">
        <v>1</v>
      </c>
      <c r="J638" t="s">
        <v>26</v>
      </c>
      <c r="K638">
        <v>2</v>
      </c>
      <c r="L638" t="s">
        <v>1396</v>
      </c>
      <c r="M638">
        <v>13</v>
      </c>
      <c r="N638" t="s">
        <v>1221</v>
      </c>
      <c r="O638">
        <v>6</v>
      </c>
      <c r="P638" t="s">
        <v>1222</v>
      </c>
      <c r="Q638" t="s">
        <v>25</v>
      </c>
      <c r="R638">
        <v>3</v>
      </c>
      <c r="S638" t="s">
        <v>63</v>
      </c>
      <c r="T638">
        <v>74663130</v>
      </c>
      <c r="U638" s="1">
        <v>-166294505</v>
      </c>
      <c r="V638" s="1">
        <v>-49247797</v>
      </c>
      <c r="W638" t="s">
        <v>1397</v>
      </c>
      <c r="X638">
        <v>1</v>
      </c>
      <c r="Y638" t="s">
        <v>34</v>
      </c>
    </row>
    <row r="639" spans="1:25" x14ac:dyDescent="0.3">
      <c r="A639">
        <v>638</v>
      </c>
      <c r="B639">
        <v>639</v>
      </c>
      <c r="C639">
        <v>52694812000188</v>
      </c>
      <c r="D639">
        <v>19</v>
      </c>
      <c r="E639" t="s">
        <v>1590</v>
      </c>
      <c r="F639">
        <v>19</v>
      </c>
      <c r="G639" t="s">
        <v>1627</v>
      </c>
      <c r="H639" t="str">
        <f t="shared" si="9"/>
        <v>REDE 19 - BANDEIRA 19 - LOJA 639</v>
      </c>
      <c r="I639">
        <v>1</v>
      </c>
      <c r="J639" t="s">
        <v>26</v>
      </c>
      <c r="K639">
        <v>2</v>
      </c>
      <c r="L639" t="s">
        <v>1398</v>
      </c>
      <c r="M639">
        <v>13</v>
      </c>
      <c r="N639" t="s">
        <v>1221</v>
      </c>
      <c r="O639">
        <v>6</v>
      </c>
      <c r="P639" t="s">
        <v>1222</v>
      </c>
      <c r="Q639" t="s">
        <v>25</v>
      </c>
      <c r="R639">
        <v>3</v>
      </c>
      <c r="S639" t="s">
        <v>63</v>
      </c>
      <c r="T639">
        <v>74343245</v>
      </c>
      <c r="U639" s="1">
        <v>-167355179</v>
      </c>
      <c r="V639" s="1">
        <v>-492943455</v>
      </c>
      <c r="W639" t="s">
        <v>1399</v>
      </c>
      <c r="X639">
        <v>1</v>
      </c>
      <c r="Y639" t="s">
        <v>34</v>
      </c>
    </row>
    <row r="640" spans="1:25" x14ac:dyDescent="0.3">
      <c r="A640">
        <v>639</v>
      </c>
      <c r="B640">
        <v>640</v>
      </c>
      <c r="C640">
        <v>52728269000192</v>
      </c>
      <c r="D640">
        <v>3</v>
      </c>
      <c r="E640" t="s">
        <v>1574</v>
      </c>
      <c r="F640">
        <v>3</v>
      </c>
      <c r="G640" t="s">
        <v>1611</v>
      </c>
      <c r="H640" t="str">
        <f t="shared" si="9"/>
        <v>REDE 3 - BANDEIRA 3 - LOJA 640</v>
      </c>
      <c r="I640">
        <v>1</v>
      </c>
      <c r="J640" t="s">
        <v>26</v>
      </c>
      <c r="K640">
        <v>1</v>
      </c>
      <c r="L640" t="s">
        <v>1301</v>
      </c>
      <c r="M640">
        <v>13</v>
      </c>
      <c r="N640" t="s">
        <v>1221</v>
      </c>
      <c r="O640">
        <v>6</v>
      </c>
      <c r="P640" t="s">
        <v>1222</v>
      </c>
      <c r="Q640" t="s">
        <v>25</v>
      </c>
      <c r="R640">
        <v>3</v>
      </c>
      <c r="S640" t="s">
        <v>63</v>
      </c>
      <c r="T640">
        <v>74810100</v>
      </c>
      <c r="U640" s="1">
        <v>-167069836</v>
      </c>
      <c r="V640" s="1">
        <v>-492377174</v>
      </c>
      <c r="W640" t="s">
        <v>1365</v>
      </c>
      <c r="X640">
        <v>1</v>
      </c>
      <c r="Y640" t="s">
        <v>34</v>
      </c>
    </row>
    <row r="641" spans="1:25" x14ac:dyDescent="0.3">
      <c r="A641">
        <v>640</v>
      </c>
      <c r="B641">
        <v>641</v>
      </c>
      <c r="C641">
        <v>54126104000176</v>
      </c>
      <c r="D641">
        <v>3</v>
      </c>
      <c r="E641" t="s">
        <v>1574</v>
      </c>
      <c r="F641">
        <v>3</v>
      </c>
      <c r="G641" t="s">
        <v>1611</v>
      </c>
      <c r="H641" t="str">
        <f t="shared" si="9"/>
        <v>REDE 3 - BANDEIRA 3 - LOJA 641</v>
      </c>
      <c r="I641">
        <v>1</v>
      </c>
      <c r="J641" t="s">
        <v>26</v>
      </c>
      <c r="K641">
        <v>1</v>
      </c>
      <c r="L641" t="s">
        <v>1375</v>
      </c>
      <c r="M641">
        <v>13</v>
      </c>
      <c r="N641" t="s">
        <v>1221</v>
      </c>
      <c r="O641">
        <v>6</v>
      </c>
      <c r="P641" t="s">
        <v>1222</v>
      </c>
      <c r="Q641" t="s">
        <v>25</v>
      </c>
      <c r="R641">
        <v>3</v>
      </c>
      <c r="S641" t="s">
        <v>63</v>
      </c>
      <c r="T641">
        <v>74223060</v>
      </c>
      <c r="U641" s="1">
        <v>-167079067</v>
      </c>
      <c r="V641" s="1">
        <v>-4927230300000000</v>
      </c>
      <c r="W641" t="s">
        <v>1367</v>
      </c>
      <c r="X641">
        <v>1</v>
      </c>
      <c r="Y641" t="s">
        <v>34</v>
      </c>
    </row>
    <row r="642" spans="1:25" x14ac:dyDescent="0.3">
      <c r="A642">
        <v>641</v>
      </c>
      <c r="B642">
        <v>642</v>
      </c>
      <c r="C642">
        <v>2933978000131</v>
      </c>
      <c r="D642">
        <v>19</v>
      </c>
      <c r="E642" t="s">
        <v>1590</v>
      </c>
      <c r="F642">
        <v>19</v>
      </c>
      <c r="G642" t="s">
        <v>1627</v>
      </c>
      <c r="H642" t="str">
        <f t="shared" si="9"/>
        <v>REDE 19 - BANDEIRA 19 - LOJA 642</v>
      </c>
      <c r="I642">
        <v>1</v>
      </c>
      <c r="J642" t="s">
        <v>26</v>
      </c>
      <c r="K642">
        <v>2</v>
      </c>
      <c r="L642" t="s">
        <v>1400</v>
      </c>
      <c r="M642">
        <v>23</v>
      </c>
      <c r="N642" t="s">
        <v>1401</v>
      </c>
      <c r="O642">
        <v>2</v>
      </c>
      <c r="P642" t="s">
        <v>37</v>
      </c>
      <c r="Q642" t="s">
        <v>38</v>
      </c>
      <c r="R642">
        <v>2</v>
      </c>
      <c r="S642" t="s">
        <v>39</v>
      </c>
      <c r="T642">
        <v>12940060</v>
      </c>
      <c r="U642" s="1">
        <v>-231158461</v>
      </c>
      <c r="V642" s="1">
        <v>-465572216</v>
      </c>
      <c r="W642" t="s">
        <v>221</v>
      </c>
      <c r="X642">
        <v>1</v>
      </c>
      <c r="Y642" t="s">
        <v>34</v>
      </c>
    </row>
    <row r="643" spans="1:25" x14ac:dyDescent="0.3">
      <c r="A643">
        <v>642</v>
      </c>
      <c r="B643">
        <v>643</v>
      </c>
      <c r="C643">
        <v>3528928000131</v>
      </c>
      <c r="D643">
        <v>19</v>
      </c>
      <c r="E643" t="s">
        <v>1590</v>
      </c>
      <c r="F643">
        <v>19</v>
      </c>
      <c r="G643" t="s">
        <v>1627</v>
      </c>
      <c r="H643" t="str">
        <f t="shared" ref="H643:H706" si="10">G643 &amp; " - "&amp; E643 &amp;" - LOJA " &amp;B643</f>
        <v>REDE 19 - BANDEIRA 19 - LOJA 643</v>
      </c>
      <c r="I643">
        <v>1</v>
      </c>
      <c r="J643" t="s">
        <v>26</v>
      </c>
      <c r="K643">
        <v>2</v>
      </c>
      <c r="L643" t="s">
        <v>1402</v>
      </c>
      <c r="M643">
        <v>24</v>
      </c>
      <c r="N643" t="s">
        <v>1403</v>
      </c>
      <c r="O643">
        <v>2</v>
      </c>
      <c r="P643" t="s">
        <v>37</v>
      </c>
      <c r="Q643" t="s">
        <v>38</v>
      </c>
      <c r="R643">
        <v>2</v>
      </c>
      <c r="S643" t="s">
        <v>39</v>
      </c>
      <c r="T643">
        <v>18116010</v>
      </c>
      <c r="U643" s="1">
        <v>-235459236</v>
      </c>
      <c r="V643" s="1">
        <v>-474498873</v>
      </c>
      <c r="W643" t="s">
        <v>1404</v>
      </c>
      <c r="X643">
        <v>1</v>
      </c>
      <c r="Y643" t="s">
        <v>34</v>
      </c>
    </row>
    <row r="644" spans="1:25" x14ac:dyDescent="0.3">
      <c r="A644">
        <v>643</v>
      </c>
      <c r="B644">
        <v>644</v>
      </c>
      <c r="C644">
        <v>5220038000193</v>
      </c>
      <c r="D644">
        <v>19</v>
      </c>
      <c r="E644" t="s">
        <v>1590</v>
      </c>
      <c r="F644">
        <v>19</v>
      </c>
      <c r="G644" t="s">
        <v>1627</v>
      </c>
      <c r="H644" t="str">
        <f t="shared" si="10"/>
        <v>REDE 19 - BANDEIRA 19 - LOJA 644</v>
      </c>
      <c r="I644">
        <v>1</v>
      </c>
      <c r="J644" t="s">
        <v>26</v>
      </c>
      <c r="K644">
        <v>2</v>
      </c>
      <c r="L644" t="s">
        <v>1405</v>
      </c>
      <c r="M644">
        <v>25</v>
      </c>
      <c r="N644" t="s">
        <v>1406</v>
      </c>
      <c r="O644">
        <v>2</v>
      </c>
      <c r="P644" t="s">
        <v>37</v>
      </c>
      <c r="Q644" t="s">
        <v>38</v>
      </c>
      <c r="R644">
        <v>2</v>
      </c>
      <c r="S644" t="s">
        <v>39</v>
      </c>
      <c r="T644">
        <v>13092133</v>
      </c>
      <c r="U644" s="1">
        <v>-22902753</v>
      </c>
      <c r="V644" s="1">
        <v>-470393554</v>
      </c>
      <c r="W644" t="s">
        <v>1407</v>
      </c>
      <c r="X644">
        <v>1</v>
      </c>
      <c r="Y644" t="s">
        <v>34</v>
      </c>
    </row>
    <row r="645" spans="1:25" x14ac:dyDescent="0.3">
      <c r="A645">
        <v>644</v>
      </c>
      <c r="B645">
        <v>645</v>
      </c>
      <c r="C645">
        <v>7237375000119</v>
      </c>
      <c r="D645">
        <v>19</v>
      </c>
      <c r="E645" t="s">
        <v>1590</v>
      </c>
      <c r="F645">
        <v>19</v>
      </c>
      <c r="G645" t="s">
        <v>1627</v>
      </c>
      <c r="H645" t="str">
        <f t="shared" si="10"/>
        <v>REDE 19 - BANDEIRA 19 - LOJA 645</v>
      </c>
      <c r="I645">
        <v>1</v>
      </c>
      <c r="J645" t="s">
        <v>26</v>
      </c>
      <c r="K645">
        <v>2</v>
      </c>
      <c r="L645" t="s">
        <v>1408</v>
      </c>
      <c r="M645">
        <v>26</v>
      </c>
      <c r="N645" t="s">
        <v>1409</v>
      </c>
      <c r="O645">
        <v>2</v>
      </c>
      <c r="P645" t="s">
        <v>37</v>
      </c>
      <c r="Q645" t="s">
        <v>38</v>
      </c>
      <c r="R645">
        <v>2</v>
      </c>
      <c r="S645" t="s">
        <v>39</v>
      </c>
      <c r="T645">
        <v>13202450</v>
      </c>
      <c r="U645" s="1">
        <v>-231992182</v>
      </c>
      <c r="V645" s="1">
        <v>-468801488</v>
      </c>
      <c r="W645" t="s">
        <v>1410</v>
      </c>
      <c r="X645">
        <v>1</v>
      </c>
      <c r="Y645" t="s">
        <v>34</v>
      </c>
    </row>
    <row r="646" spans="1:25" x14ac:dyDescent="0.3">
      <c r="A646">
        <v>645</v>
      </c>
      <c r="B646">
        <v>646</v>
      </c>
      <c r="C646">
        <v>7462614000134</v>
      </c>
      <c r="D646">
        <v>19</v>
      </c>
      <c r="E646" t="s">
        <v>1590</v>
      </c>
      <c r="F646">
        <v>19</v>
      </c>
      <c r="G646" t="s">
        <v>1627</v>
      </c>
      <c r="H646" t="str">
        <f t="shared" si="10"/>
        <v>REDE 19 - BANDEIRA 19 - LOJA 646</v>
      </c>
      <c r="I646">
        <v>1</v>
      </c>
      <c r="J646" t="s">
        <v>26</v>
      </c>
      <c r="K646">
        <v>2</v>
      </c>
      <c r="L646" t="s">
        <v>1411</v>
      </c>
      <c r="M646">
        <v>27</v>
      </c>
      <c r="N646" t="s">
        <v>1412</v>
      </c>
      <c r="O646">
        <v>2</v>
      </c>
      <c r="P646" t="s">
        <v>37</v>
      </c>
      <c r="Q646" t="s">
        <v>38</v>
      </c>
      <c r="R646">
        <v>2</v>
      </c>
      <c r="S646" t="s">
        <v>39</v>
      </c>
      <c r="T646">
        <v>13320290</v>
      </c>
      <c r="U646" s="1">
        <v>-232016245</v>
      </c>
      <c r="V646" s="1">
        <v>-47297805</v>
      </c>
      <c r="W646" t="s">
        <v>1413</v>
      </c>
      <c r="X646">
        <v>1</v>
      </c>
      <c r="Y646" t="s">
        <v>34</v>
      </c>
    </row>
    <row r="647" spans="1:25" x14ac:dyDescent="0.3">
      <c r="A647">
        <v>646</v>
      </c>
      <c r="B647">
        <v>647</v>
      </c>
      <c r="C647">
        <v>8801879000182</v>
      </c>
      <c r="D647">
        <v>19</v>
      </c>
      <c r="E647" t="s">
        <v>1590</v>
      </c>
      <c r="F647">
        <v>19</v>
      </c>
      <c r="G647" t="s">
        <v>1627</v>
      </c>
      <c r="H647" t="str">
        <f t="shared" si="10"/>
        <v>REDE 19 - BANDEIRA 19 - LOJA 647</v>
      </c>
      <c r="I647">
        <v>1</v>
      </c>
      <c r="J647" t="s">
        <v>26</v>
      </c>
      <c r="K647">
        <v>2</v>
      </c>
      <c r="L647" t="s">
        <v>1414</v>
      </c>
      <c r="M647">
        <v>26</v>
      </c>
      <c r="N647" t="s">
        <v>1409</v>
      </c>
      <c r="O647">
        <v>2</v>
      </c>
      <c r="P647" t="s">
        <v>37</v>
      </c>
      <c r="Q647" t="s">
        <v>38</v>
      </c>
      <c r="R647">
        <v>2</v>
      </c>
      <c r="S647" t="s">
        <v>39</v>
      </c>
      <c r="T647">
        <v>13201038</v>
      </c>
      <c r="U647" s="1">
        <v>-23185992</v>
      </c>
      <c r="V647" s="1">
        <v>-468900867</v>
      </c>
      <c r="W647" t="s">
        <v>221</v>
      </c>
      <c r="X647">
        <v>1</v>
      </c>
      <c r="Y647" t="s">
        <v>34</v>
      </c>
    </row>
    <row r="648" spans="1:25" x14ac:dyDescent="0.3">
      <c r="A648">
        <v>647</v>
      </c>
      <c r="B648">
        <v>648</v>
      </c>
      <c r="C648">
        <v>9095366000166</v>
      </c>
      <c r="D648">
        <v>19</v>
      </c>
      <c r="E648" t="s">
        <v>1590</v>
      </c>
      <c r="F648">
        <v>19</v>
      </c>
      <c r="G648" t="s">
        <v>1627</v>
      </c>
      <c r="H648" t="str">
        <f t="shared" si="10"/>
        <v>REDE 19 - BANDEIRA 19 - LOJA 648</v>
      </c>
      <c r="I648">
        <v>1</v>
      </c>
      <c r="J648" t="s">
        <v>26</v>
      </c>
      <c r="K648">
        <v>2</v>
      </c>
      <c r="L648" t="s">
        <v>1415</v>
      </c>
      <c r="M648">
        <v>25</v>
      </c>
      <c r="N648" t="s">
        <v>1406</v>
      </c>
      <c r="O648">
        <v>2</v>
      </c>
      <c r="P648" t="s">
        <v>37</v>
      </c>
      <c r="Q648" t="s">
        <v>38</v>
      </c>
      <c r="R648">
        <v>2</v>
      </c>
      <c r="S648" t="s">
        <v>39</v>
      </c>
      <c r="T648">
        <v>13024100</v>
      </c>
      <c r="U648" s="1">
        <v>-228942597</v>
      </c>
      <c r="V648" s="1">
        <v>-470594234</v>
      </c>
      <c r="W648" t="s">
        <v>1416</v>
      </c>
      <c r="X648">
        <v>1</v>
      </c>
      <c r="Y648" t="s">
        <v>34</v>
      </c>
    </row>
    <row r="649" spans="1:25" x14ac:dyDescent="0.3">
      <c r="A649">
        <v>648</v>
      </c>
      <c r="B649">
        <v>649</v>
      </c>
      <c r="C649">
        <v>9474444000133</v>
      </c>
      <c r="D649">
        <v>19</v>
      </c>
      <c r="E649" t="s">
        <v>1590</v>
      </c>
      <c r="F649">
        <v>19</v>
      </c>
      <c r="G649" t="s">
        <v>1627</v>
      </c>
      <c r="H649" t="str">
        <f t="shared" si="10"/>
        <v>REDE 19 - BANDEIRA 19 - LOJA 649</v>
      </c>
      <c r="I649">
        <v>1</v>
      </c>
      <c r="J649" t="s">
        <v>26</v>
      </c>
      <c r="K649">
        <v>2</v>
      </c>
      <c r="L649" t="s">
        <v>1417</v>
      </c>
      <c r="M649">
        <v>25</v>
      </c>
      <c r="N649" t="s">
        <v>1406</v>
      </c>
      <c r="O649">
        <v>2</v>
      </c>
      <c r="P649" t="s">
        <v>37</v>
      </c>
      <c r="Q649" t="s">
        <v>38</v>
      </c>
      <c r="R649">
        <v>2</v>
      </c>
      <c r="S649" t="s">
        <v>39</v>
      </c>
      <c r="T649">
        <v>13024410</v>
      </c>
      <c r="U649" s="1">
        <v>-22888784</v>
      </c>
      <c r="V649" s="1">
        <v>-470520872</v>
      </c>
      <c r="W649" t="s">
        <v>1416</v>
      </c>
      <c r="X649">
        <v>1</v>
      </c>
      <c r="Y649" t="s">
        <v>34</v>
      </c>
    </row>
    <row r="650" spans="1:25" x14ac:dyDescent="0.3">
      <c r="A650">
        <v>649</v>
      </c>
      <c r="B650">
        <v>650</v>
      </c>
      <c r="C650">
        <v>10320509000175</v>
      </c>
      <c r="D650">
        <v>19</v>
      </c>
      <c r="E650" t="s">
        <v>1590</v>
      </c>
      <c r="F650">
        <v>19</v>
      </c>
      <c r="G650" t="s">
        <v>1627</v>
      </c>
      <c r="H650" t="str">
        <f t="shared" si="10"/>
        <v>REDE 19 - BANDEIRA 19 - LOJA 650</v>
      </c>
      <c r="I650">
        <v>1</v>
      </c>
      <c r="J650" t="s">
        <v>26</v>
      </c>
      <c r="K650">
        <v>2</v>
      </c>
      <c r="L650" t="s">
        <v>1418</v>
      </c>
      <c r="M650">
        <v>23</v>
      </c>
      <c r="N650" t="s">
        <v>1401</v>
      </c>
      <c r="O650">
        <v>2</v>
      </c>
      <c r="P650" t="s">
        <v>37</v>
      </c>
      <c r="Q650" t="s">
        <v>38</v>
      </c>
      <c r="R650">
        <v>2</v>
      </c>
      <c r="S650" t="s">
        <v>39</v>
      </c>
      <c r="T650">
        <v>12947000</v>
      </c>
      <c r="U650" s="1">
        <v>-231361605</v>
      </c>
      <c r="V650" s="1">
        <v>-465548343</v>
      </c>
      <c r="W650" t="s">
        <v>1419</v>
      </c>
      <c r="X650">
        <v>1</v>
      </c>
      <c r="Y650" t="s">
        <v>34</v>
      </c>
    </row>
    <row r="651" spans="1:25" x14ac:dyDescent="0.3">
      <c r="A651">
        <v>650</v>
      </c>
      <c r="B651">
        <v>651</v>
      </c>
      <c r="C651">
        <v>10483841000150</v>
      </c>
      <c r="D651">
        <v>25</v>
      </c>
      <c r="E651" t="s">
        <v>1596</v>
      </c>
      <c r="F651">
        <v>25</v>
      </c>
      <c r="G651" t="s">
        <v>1633</v>
      </c>
      <c r="H651" t="str">
        <f t="shared" si="10"/>
        <v>REDE 25 - BANDEIRA 25 - LOJA 651</v>
      </c>
      <c r="I651">
        <v>1</v>
      </c>
      <c r="J651" t="s">
        <v>26</v>
      </c>
      <c r="K651">
        <v>1</v>
      </c>
      <c r="L651" t="s">
        <v>1420</v>
      </c>
      <c r="M651">
        <v>25</v>
      </c>
      <c r="N651" t="s">
        <v>1406</v>
      </c>
      <c r="O651">
        <v>2</v>
      </c>
      <c r="P651" t="s">
        <v>37</v>
      </c>
      <c r="Q651" t="s">
        <v>38</v>
      </c>
      <c r="R651">
        <v>2</v>
      </c>
      <c r="S651" t="s">
        <v>39</v>
      </c>
      <c r="T651">
        <v>13042105</v>
      </c>
      <c r="U651" s="1">
        <v>-229274833</v>
      </c>
      <c r="V651" s="1">
        <v>-470556031</v>
      </c>
      <c r="W651" t="s">
        <v>907</v>
      </c>
      <c r="X651">
        <v>1</v>
      </c>
      <c r="Y651" t="s">
        <v>34</v>
      </c>
    </row>
    <row r="652" spans="1:25" x14ac:dyDescent="0.3">
      <c r="A652">
        <v>651</v>
      </c>
      <c r="B652">
        <v>652</v>
      </c>
      <c r="C652">
        <v>10532959000121</v>
      </c>
      <c r="D652">
        <v>19</v>
      </c>
      <c r="E652" t="s">
        <v>1590</v>
      </c>
      <c r="F652">
        <v>19</v>
      </c>
      <c r="G652" t="s">
        <v>1627</v>
      </c>
      <c r="H652" t="str">
        <f t="shared" si="10"/>
        <v>REDE 19 - BANDEIRA 19 - LOJA 652</v>
      </c>
      <c r="I652">
        <v>1</v>
      </c>
      <c r="J652" t="s">
        <v>26</v>
      </c>
      <c r="K652">
        <v>2</v>
      </c>
      <c r="L652" t="s">
        <v>1421</v>
      </c>
      <c r="M652">
        <v>28</v>
      </c>
      <c r="N652" t="s">
        <v>1422</v>
      </c>
      <c r="O652">
        <v>2</v>
      </c>
      <c r="P652" t="s">
        <v>37</v>
      </c>
      <c r="Q652" t="s">
        <v>38</v>
      </c>
      <c r="R652">
        <v>2</v>
      </c>
      <c r="S652" t="s">
        <v>39</v>
      </c>
      <c r="T652">
        <v>13177152</v>
      </c>
      <c r="U652" s="1">
        <v>-228082001</v>
      </c>
      <c r="V652" s="1">
        <v>-47222361</v>
      </c>
      <c r="W652" t="s">
        <v>1423</v>
      </c>
      <c r="X652">
        <v>1</v>
      </c>
      <c r="Y652" t="s">
        <v>34</v>
      </c>
    </row>
    <row r="653" spans="1:25" x14ac:dyDescent="0.3">
      <c r="A653">
        <v>652</v>
      </c>
      <c r="B653">
        <v>653</v>
      </c>
      <c r="C653">
        <v>11022948000164</v>
      </c>
      <c r="D653">
        <v>19</v>
      </c>
      <c r="E653" t="s">
        <v>1590</v>
      </c>
      <c r="F653">
        <v>19</v>
      </c>
      <c r="G653" t="s">
        <v>1627</v>
      </c>
      <c r="H653" t="str">
        <f t="shared" si="10"/>
        <v>REDE 19 - BANDEIRA 19 - LOJA 653</v>
      </c>
      <c r="I653">
        <v>1</v>
      </c>
      <c r="J653" t="s">
        <v>26</v>
      </c>
      <c r="K653">
        <v>2</v>
      </c>
      <c r="L653" t="s">
        <v>1424</v>
      </c>
      <c r="M653">
        <v>29</v>
      </c>
      <c r="N653" t="s">
        <v>1425</v>
      </c>
      <c r="O653">
        <v>2</v>
      </c>
      <c r="P653" t="s">
        <v>37</v>
      </c>
      <c r="Q653" t="s">
        <v>38</v>
      </c>
      <c r="R653">
        <v>2</v>
      </c>
      <c r="S653" t="s">
        <v>39</v>
      </c>
      <c r="T653">
        <v>18020276</v>
      </c>
      <c r="U653" s="1">
        <v>-235084274</v>
      </c>
      <c r="V653" s="1">
        <v>-474376634</v>
      </c>
      <c r="W653" t="s">
        <v>1426</v>
      </c>
      <c r="X653">
        <v>1</v>
      </c>
      <c r="Y653" t="s">
        <v>34</v>
      </c>
    </row>
    <row r="654" spans="1:25" x14ac:dyDescent="0.3">
      <c r="A654">
        <v>653</v>
      </c>
      <c r="B654">
        <v>654</v>
      </c>
      <c r="C654">
        <v>11689045000131</v>
      </c>
      <c r="D654">
        <v>19</v>
      </c>
      <c r="E654" t="s">
        <v>1590</v>
      </c>
      <c r="F654">
        <v>19</v>
      </c>
      <c r="G654" t="s">
        <v>1627</v>
      </c>
      <c r="H654" t="str">
        <f t="shared" si="10"/>
        <v>REDE 19 - BANDEIRA 19 - LOJA 654</v>
      </c>
      <c r="I654">
        <v>1</v>
      </c>
      <c r="J654" t="s">
        <v>26</v>
      </c>
      <c r="K654">
        <v>2</v>
      </c>
      <c r="L654" t="s">
        <v>1427</v>
      </c>
      <c r="M654">
        <v>29</v>
      </c>
      <c r="N654" t="s">
        <v>1425</v>
      </c>
      <c r="O654">
        <v>2</v>
      </c>
      <c r="P654" t="s">
        <v>37</v>
      </c>
      <c r="Q654" t="s">
        <v>38</v>
      </c>
      <c r="R654">
        <v>2</v>
      </c>
      <c r="S654" t="s">
        <v>39</v>
      </c>
      <c r="T654">
        <v>18048115</v>
      </c>
      <c r="U654" s="1">
        <v>-235397596</v>
      </c>
      <c r="V654" s="1">
        <v>-4746750480000000</v>
      </c>
      <c r="W654" t="s">
        <v>1428</v>
      </c>
      <c r="X654">
        <v>1</v>
      </c>
      <c r="Y654" t="s">
        <v>34</v>
      </c>
    </row>
    <row r="655" spans="1:25" x14ac:dyDescent="0.3">
      <c r="A655">
        <v>654</v>
      </c>
      <c r="B655">
        <v>655</v>
      </c>
      <c r="C655">
        <v>12328467000144</v>
      </c>
      <c r="D655">
        <v>25</v>
      </c>
      <c r="E655" t="s">
        <v>1596</v>
      </c>
      <c r="F655">
        <v>25</v>
      </c>
      <c r="G655" t="s">
        <v>1633</v>
      </c>
      <c r="H655" t="str">
        <f t="shared" si="10"/>
        <v>REDE 25 - BANDEIRA 25 - LOJA 655</v>
      </c>
      <c r="I655">
        <v>1</v>
      </c>
      <c r="J655" t="s">
        <v>26</v>
      </c>
      <c r="K655">
        <v>1</v>
      </c>
      <c r="L655" t="s">
        <v>1429</v>
      </c>
      <c r="M655">
        <v>25</v>
      </c>
      <c r="N655" t="s">
        <v>1406</v>
      </c>
      <c r="O655">
        <v>2</v>
      </c>
      <c r="P655" t="s">
        <v>37</v>
      </c>
      <c r="Q655" t="s">
        <v>38</v>
      </c>
      <c r="R655">
        <v>2</v>
      </c>
      <c r="S655" t="s">
        <v>39</v>
      </c>
      <c r="T655">
        <v>13025150</v>
      </c>
      <c r="U655" s="1">
        <v>-228914384</v>
      </c>
      <c r="V655" s="1">
        <v>-470535296</v>
      </c>
      <c r="W655" t="s">
        <v>1416</v>
      </c>
      <c r="X655">
        <v>1</v>
      </c>
      <c r="Y655" t="s">
        <v>34</v>
      </c>
    </row>
    <row r="656" spans="1:25" x14ac:dyDescent="0.3">
      <c r="A656">
        <v>655</v>
      </c>
      <c r="B656">
        <v>656</v>
      </c>
      <c r="C656">
        <v>13322039000177</v>
      </c>
      <c r="D656">
        <v>19</v>
      </c>
      <c r="E656" t="s">
        <v>1590</v>
      </c>
      <c r="F656">
        <v>19</v>
      </c>
      <c r="G656" t="s">
        <v>1627</v>
      </c>
      <c r="H656" t="str">
        <f t="shared" si="10"/>
        <v>REDE 19 - BANDEIRA 19 - LOJA 656</v>
      </c>
      <c r="I656">
        <v>1</v>
      </c>
      <c r="J656" t="s">
        <v>26</v>
      </c>
      <c r="K656">
        <v>2</v>
      </c>
      <c r="L656" t="s">
        <v>1430</v>
      </c>
      <c r="M656">
        <v>26</v>
      </c>
      <c r="N656" t="s">
        <v>1409</v>
      </c>
      <c r="O656">
        <v>2</v>
      </c>
      <c r="P656" t="s">
        <v>37</v>
      </c>
      <c r="Q656" t="s">
        <v>38</v>
      </c>
      <c r="R656">
        <v>2</v>
      </c>
      <c r="S656" t="s">
        <v>39</v>
      </c>
      <c r="T656">
        <v>13208056</v>
      </c>
      <c r="U656" s="1">
        <v>-231909958</v>
      </c>
      <c r="V656" s="1">
        <v>-468902004</v>
      </c>
      <c r="W656" t="s">
        <v>221</v>
      </c>
      <c r="X656">
        <v>1</v>
      </c>
      <c r="Y656" t="s">
        <v>34</v>
      </c>
    </row>
    <row r="657" spans="1:25" x14ac:dyDescent="0.3">
      <c r="A657">
        <v>656</v>
      </c>
      <c r="B657">
        <v>657</v>
      </c>
      <c r="C657">
        <v>13569899000100</v>
      </c>
      <c r="D657">
        <v>19</v>
      </c>
      <c r="E657" t="s">
        <v>1590</v>
      </c>
      <c r="F657">
        <v>19</v>
      </c>
      <c r="G657" t="s">
        <v>1627</v>
      </c>
      <c r="H657" t="str">
        <f t="shared" si="10"/>
        <v>REDE 19 - BANDEIRA 19 - LOJA 657</v>
      </c>
      <c r="I657">
        <v>1</v>
      </c>
      <c r="J657" t="s">
        <v>26</v>
      </c>
      <c r="K657">
        <v>2</v>
      </c>
      <c r="L657" t="s">
        <v>1431</v>
      </c>
      <c r="M657">
        <v>30</v>
      </c>
      <c r="N657" t="s">
        <v>1432</v>
      </c>
      <c r="O657">
        <v>2</v>
      </c>
      <c r="P657" t="s">
        <v>37</v>
      </c>
      <c r="Q657" t="s">
        <v>38</v>
      </c>
      <c r="R657">
        <v>2</v>
      </c>
      <c r="S657" t="s">
        <v>39</v>
      </c>
      <c r="T657">
        <v>13270030</v>
      </c>
      <c r="U657" s="1">
        <v>-229706665</v>
      </c>
      <c r="V657" s="1">
        <v>-469966628</v>
      </c>
      <c r="W657" t="s">
        <v>221</v>
      </c>
      <c r="X657">
        <v>1</v>
      </c>
      <c r="Y657" t="s">
        <v>34</v>
      </c>
    </row>
    <row r="658" spans="1:25" x14ac:dyDescent="0.3">
      <c r="A658">
        <v>657</v>
      </c>
      <c r="B658">
        <v>658</v>
      </c>
      <c r="C658">
        <v>14328582000144</v>
      </c>
      <c r="D658">
        <v>19</v>
      </c>
      <c r="E658" t="s">
        <v>1590</v>
      </c>
      <c r="F658">
        <v>19</v>
      </c>
      <c r="G658" t="s">
        <v>1627</v>
      </c>
      <c r="H658" t="str">
        <f t="shared" si="10"/>
        <v>REDE 19 - BANDEIRA 19 - LOJA 658</v>
      </c>
      <c r="I658">
        <v>1</v>
      </c>
      <c r="J658" t="s">
        <v>26</v>
      </c>
      <c r="K658">
        <v>2</v>
      </c>
      <c r="L658" t="s">
        <v>1433</v>
      </c>
      <c r="M658">
        <v>31</v>
      </c>
      <c r="N658" t="s">
        <v>1434</v>
      </c>
      <c r="O658">
        <v>2</v>
      </c>
      <c r="P658" t="s">
        <v>37</v>
      </c>
      <c r="Q658" t="s">
        <v>38</v>
      </c>
      <c r="R658">
        <v>2</v>
      </c>
      <c r="S658" t="s">
        <v>39</v>
      </c>
      <c r="T658">
        <v>13250280</v>
      </c>
      <c r="U658" s="1">
        <v>-230042882</v>
      </c>
      <c r="V658" s="1">
        <v>-468433457</v>
      </c>
      <c r="W658" t="s">
        <v>221</v>
      </c>
      <c r="X658">
        <v>1</v>
      </c>
      <c r="Y658" t="s">
        <v>34</v>
      </c>
    </row>
    <row r="659" spans="1:25" x14ac:dyDescent="0.3">
      <c r="A659">
        <v>658</v>
      </c>
      <c r="B659">
        <v>659</v>
      </c>
      <c r="C659">
        <v>16616091000558</v>
      </c>
      <c r="D659">
        <v>19</v>
      </c>
      <c r="E659" t="s">
        <v>1590</v>
      </c>
      <c r="F659">
        <v>19</v>
      </c>
      <c r="G659" t="s">
        <v>1627</v>
      </c>
      <c r="H659" t="str">
        <f t="shared" si="10"/>
        <v>REDE 19 - BANDEIRA 19 - LOJA 659</v>
      </c>
      <c r="I659">
        <v>1</v>
      </c>
      <c r="J659" t="s">
        <v>26</v>
      </c>
      <c r="K659">
        <v>2</v>
      </c>
      <c r="L659" t="s">
        <v>1435</v>
      </c>
      <c r="M659">
        <v>32</v>
      </c>
      <c r="N659" t="s">
        <v>1436</v>
      </c>
      <c r="O659">
        <v>2</v>
      </c>
      <c r="P659" t="s">
        <v>37</v>
      </c>
      <c r="Q659" t="s">
        <v>38</v>
      </c>
      <c r="R659">
        <v>2</v>
      </c>
      <c r="S659" t="s">
        <v>39</v>
      </c>
      <c r="T659">
        <v>13140289</v>
      </c>
      <c r="U659" s="1">
        <v>-22766847</v>
      </c>
      <c r="V659" s="1">
        <v>-471495928</v>
      </c>
      <c r="W659" t="s">
        <v>1437</v>
      </c>
      <c r="X659">
        <v>1</v>
      </c>
      <c r="Y659" t="s">
        <v>34</v>
      </c>
    </row>
    <row r="660" spans="1:25" x14ac:dyDescent="0.3">
      <c r="A660">
        <v>659</v>
      </c>
      <c r="B660">
        <v>660</v>
      </c>
      <c r="C660">
        <v>16616091000639</v>
      </c>
      <c r="D660">
        <v>19</v>
      </c>
      <c r="E660" t="s">
        <v>1590</v>
      </c>
      <c r="F660">
        <v>19</v>
      </c>
      <c r="G660" t="s">
        <v>1627</v>
      </c>
      <c r="H660" t="str">
        <f t="shared" si="10"/>
        <v>REDE 19 - BANDEIRA 19 - LOJA 660</v>
      </c>
      <c r="I660">
        <v>1</v>
      </c>
      <c r="J660" t="s">
        <v>26</v>
      </c>
      <c r="K660">
        <v>2</v>
      </c>
      <c r="L660" t="s">
        <v>1438</v>
      </c>
      <c r="M660">
        <v>25</v>
      </c>
      <c r="N660" t="s">
        <v>1406</v>
      </c>
      <c r="O660">
        <v>2</v>
      </c>
      <c r="P660" t="s">
        <v>37</v>
      </c>
      <c r="Q660" t="s">
        <v>38</v>
      </c>
      <c r="R660">
        <v>2</v>
      </c>
      <c r="S660" t="s">
        <v>39</v>
      </c>
      <c r="T660">
        <v>13023075</v>
      </c>
      <c r="U660" s="1">
        <v>-228931207</v>
      </c>
      <c r="V660" s="1">
        <v>-470610988</v>
      </c>
      <c r="W660" t="s">
        <v>1439</v>
      </c>
      <c r="X660">
        <v>1</v>
      </c>
      <c r="Y660" t="s">
        <v>34</v>
      </c>
    </row>
    <row r="661" spans="1:25" x14ac:dyDescent="0.3">
      <c r="A661">
        <v>660</v>
      </c>
      <c r="B661">
        <v>661</v>
      </c>
      <c r="C661">
        <v>16616091001015</v>
      </c>
      <c r="D661">
        <v>19</v>
      </c>
      <c r="E661" t="s">
        <v>1590</v>
      </c>
      <c r="F661">
        <v>19</v>
      </c>
      <c r="G661" t="s">
        <v>1627</v>
      </c>
      <c r="H661" t="str">
        <f t="shared" si="10"/>
        <v>REDE 19 - BANDEIRA 19 - LOJA 661</v>
      </c>
      <c r="I661">
        <v>1</v>
      </c>
      <c r="J661" t="s">
        <v>26</v>
      </c>
      <c r="K661">
        <v>2</v>
      </c>
      <c r="L661" t="s">
        <v>1440</v>
      </c>
      <c r="M661">
        <v>25</v>
      </c>
      <c r="N661" t="s">
        <v>1406</v>
      </c>
      <c r="O661">
        <v>2</v>
      </c>
      <c r="P661" t="s">
        <v>37</v>
      </c>
      <c r="Q661" t="s">
        <v>38</v>
      </c>
      <c r="R661">
        <v>2</v>
      </c>
      <c r="S661" t="s">
        <v>39</v>
      </c>
      <c r="T661">
        <v>13025350</v>
      </c>
      <c r="U661" s="1">
        <v>-229017516</v>
      </c>
      <c r="V661" s="1">
        <v>-470526608</v>
      </c>
      <c r="W661" t="s">
        <v>1416</v>
      </c>
      <c r="X661">
        <v>1</v>
      </c>
      <c r="Y661" t="s">
        <v>34</v>
      </c>
    </row>
    <row r="662" spans="1:25" x14ac:dyDescent="0.3">
      <c r="A662">
        <v>661</v>
      </c>
      <c r="B662">
        <v>662</v>
      </c>
      <c r="C662">
        <v>16616091001104</v>
      </c>
      <c r="D662">
        <v>19</v>
      </c>
      <c r="E662" t="s">
        <v>1590</v>
      </c>
      <c r="F662">
        <v>19</v>
      </c>
      <c r="G662" t="s">
        <v>1627</v>
      </c>
      <c r="H662" t="str">
        <f t="shared" si="10"/>
        <v>REDE 19 - BANDEIRA 19 - LOJA 662</v>
      </c>
      <c r="I662">
        <v>1</v>
      </c>
      <c r="J662" t="s">
        <v>26</v>
      </c>
      <c r="K662">
        <v>2</v>
      </c>
      <c r="L662" t="s">
        <v>1441</v>
      </c>
      <c r="M662">
        <v>29</v>
      </c>
      <c r="N662" t="s">
        <v>1425</v>
      </c>
      <c r="O662">
        <v>2</v>
      </c>
      <c r="P662" t="s">
        <v>37</v>
      </c>
      <c r="Q662" t="s">
        <v>38</v>
      </c>
      <c r="R662">
        <v>2</v>
      </c>
      <c r="S662" t="s">
        <v>39</v>
      </c>
      <c r="T662">
        <v>18030000</v>
      </c>
      <c r="U662" s="1">
        <v>-235091778</v>
      </c>
      <c r="V662" s="1">
        <v>-474621956</v>
      </c>
      <c r="W662" t="s">
        <v>1442</v>
      </c>
      <c r="X662">
        <v>1</v>
      </c>
      <c r="Y662" t="s">
        <v>34</v>
      </c>
    </row>
    <row r="663" spans="1:25" x14ac:dyDescent="0.3">
      <c r="A663">
        <v>662</v>
      </c>
      <c r="B663">
        <v>663</v>
      </c>
      <c r="C663">
        <v>16730659000133</v>
      </c>
      <c r="D663">
        <v>19</v>
      </c>
      <c r="E663" t="s">
        <v>1590</v>
      </c>
      <c r="F663">
        <v>19</v>
      </c>
      <c r="G663" t="s">
        <v>1627</v>
      </c>
      <c r="H663" t="str">
        <f t="shared" si="10"/>
        <v>REDE 19 - BANDEIRA 19 - LOJA 663</v>
      </c>
      <c r="I663">
        <v>1</v>
      </c>
      <c r="J663" t="s">
        <v>26</v>
      </c>
      <c r="K663">
        <v>2</v>
      </c>
      <c r="L663" t="s">
        <v>1443</v>
      </c>
      <c r="M663">
        <v>25</v>
      </c>
      <c r="N663" t="s">
        <v>1406</v>
      </c>
      <c r="O663">
        <v>2</v>
      </c>
      <c r="P663" t="s">
        <v>37</v>
      </c>
      <c r="Q663" t="s">
        <v>38</v>
      </c>
      <c r="R663">
        <v>2</v>
      </c>
      <c r="S663" t="s">
        <v>39</v>
      </c>
      <c r="T663">
        <v>13070710</v>
      </c>
      <c r="U663" s="1">
        <v>-228960063</v>
      </c>
      <c r="V663" s="1">
        <v>-470800312</v>
      </c>
      <c r="W663" t="s">
        <v>1444</v>
      </c>
      <c r="X663">
        <v>1</v>
      </c>
      <c r="Y663" t="s">
        <v>34</v>
      </c>
    </row>
    <row r="664" spans="1:25" x14ac:dyDescent="0.3">
      <c r="A664">
        <v>663</v>
      </c>
      <c r="B664">
        <v>664</v>
      </c>
      <c r="C664">
        <v>17112898000192</v>
      </c>
      <c r="D664">
        <v>19</v>
      </c>
      <c r="E664" t="s">
        <v>1590</v>
      </c>
      <c r="F664">
        <v>19</v>
      </c>
      <c r="G664" t="s">
        <v>1627</v>
      </c>
      <c r="H664" t="str">
        <f t="shared" si="10"/>
        <v>REDE 19 - BANDEIRA 19 - LOJA 664</v>
      </c>
      <c r="I664">
        <v>1</v>
      </c>
      <c r="J664" t="s">
        <v>26</v>
      </c>
      <c r="K664">
        <v>2</v>
      </c>
      <c r="L664" t="s">
        <v>1445</v>
      </c>
      <c r="M664">
        <v>33</v>
      </c>
      <c r="N664" t="s">
        <v>1446</v>
      </c>
      <c r="O664">
        <v>2</v>
      </c>
      <c r="P664" t="s">
        <v>37</v>
      </c>
      <c r="Q664" t="s">
        <v>38</v>
      </c>
      <c r="R664">
        <v>2</v>
      </c>
      <c r="S664" t="s">
        <v>39</v>
      </c>
      <c r="T664">
        <v>13280027</v>
      </c>
      <c r="U664" s="1">
        <v>-230273424</v>
      </c>
      <c r="V664" s="1">
        <v>-4698051830000000</v>
      </c>
      <c r="W664" t="s">
        <v>221</v>
      </c>
      <c r="X664">
        <v>1</v>
      </c>
      <c r="Y664" t="s">
        <v>34</v>
      </c>
    </row>
    <row r="665" spans="1:25" x14ac:dyDescent="0.3">
      <c r="A665">
        <v>664</v>
      </c>
      <c r="B665">
        <v>665</v>
      </c>
      <c r="C665">
        <v>17211639000119</v>
      </c>
      <c r="D665">
        <v>19</v>
      </c>
      <c r="E665" t="s">
        <v>1590</v>
      </c>
      <c r="F665">
        <v>19</v>
      </c>
      <c r="G665" t="s">
        <v>1627</v>
      </c>
      <c r="H665" t="str">
        <f t="shared" si="10"/>
        <v>REDE 19 - BANDEIRA 19 - LOJA 665</v>
      </c>
      <c r="I665">
        <v>1</v>
      </c>
      <c r="J665" t="s">
        <v>26</v>
      </c>
      <c r="K665">
        <v>1</v>
      </c>
      <c r="L665" t="s">
        <v>1438</v>
      </c>
      <c r="M665">
        <v>34</v>
      </c>
      <c r="N665" t="s">
        <v>1447</v>
      </c>
      <c r="O665">
        <v>2</v>
      </c>
      <c r="P665" t="s">
        <v>37</v>
      </c>
      <c r="Q665" t="s">
        <v>38</v>
      </c>
      <c r="R665">
        <v>2</v>
      </c>
      <c r="S665" t="s">
        <v>39</v>
      </c>
      <c r="T665">
        <v>13465770</v>
      </c>
      <c r="U665" s="1">
        <v>-227521824</v>
      </c>
      <c r="V665" s="1">
        <v>-473458596</v>
      </c>
      <c r="W665" t="s">
        <v>1445</v>
      </c>
      <c r="X665">
        <v>1</v>
      </c>
      <c r="Y665" t="s">
        <v>34</v>
      </c>
    </row>
    <row r="666" spans="1:25" x14ac:dyDescent="0.3">
      <c r="A666">
        <v>665</v>
      </c>
      <c r="B666">
        <v>666</v>
      </c>
      <c r="C666">
        <v>17273520000170</v>
      </c>
      <c r="D666">
        <v>19</v>
      </c>
      <c r="E666" t="s">
        <v>1590</v>
      </c>
      <c r="F666">
        <v>19</v>
      </c>
      <c r="G666" t="s">
        <v>1627</v>
      </c>
      <c r="H666" t="str">
        <f t="shared" si="10"/>
        <v>REDE 19 - BANDEIRA 19 - LOJA 666</v>
      </c>
      <c r="I666">
        <v>1</v>
      </c>
      <c r="J666" t="s">
        <v>26</v>
      </c>
      <c r="K666">
        <v>2</v>
      </c>
      <c r="L666" t="s">
        <v>1448</v>
      </c>
      <c r="M666">
        <v>26</v>
      </c>
      <c r="N666" t="s">
        <v>1409</v>
      </c>
      <c r="O666">
        <v>2</v>
      </c>
      <c r="P666" t="s">
        <v>37</v>
      </c>
      <c r="Q666" t="s">
        <v>38</v>
      </c>
      <c r="R666">
        <v>2</v>
      </c>
      <c r="S666" t="s">
        <v>39</v>
      </c>
      <c r="T666">
        <v>13201014</v>
      </c>
      <c r="U666" s="1">
        <v>-231905445</v>
      </c>
      <c r="V666" s="1">
        <v>-468839114</v>
      </c>
      <c r="W666" t="s">
        <v>221</v>
      </c>
      <c r="X666">
        <v>1</v>
      </c>
      <c r="Y666" t="s">
        <v>34</v>
      </c>
    </row>
    <row r="667" spans="1:25" x14ac:dyDescent="0.3">
      <c r="A667">
        <v>666</v>
      </c>
      <c r="B667">
        <v>667</v>
      </c>
      <c r="C667">
        <v>17448528000120</v>
      </c>
      <c r="D667">
        <v>25</v>
      </c>
      <c r="E667" t="s">
        <v>1596</v>
      </c>
      <c r="F667">
        <v>25</v>
      </c>
      <c r="G667" t="s">
        <v>1633</v>
      </c>
      <c r="H667" t="str">
        <f t="shared" si="10"/>
        <v>REDE 25 - BANDEIRA 25 - LOJA 667</v>
      </c>
      <c r="I667">
        <v>1</v>
      </c>
      <c r="J667" t="s">
        <v>26</v>
      </c>
      <c r="K667">
        <v>1</v>
      </c>
      <c r="L667" t="s">
        <v>1449</v>
      </c>
      <c r="M667">
        <v>25</v>
      </c>
      <c r="N667" t="s">
        <v>1406</v>
      </c>
      <c r="O667">
        <v>2</v>
      </c>
      <c r="P667" t="s">
        <v>37</v>
      </c>
      <c r="Q667" t="s">
        <v>38</v>
      </c>
      <c r="R667">
        <v>2</v>
      </c>
      <c r="S667" t="s">
        <v>39</v>
      </c>
      <c r="T667">
        <v>13085510</v>
      </c>
      <c r="U667" s="1">
        <v>-228300264</v>
      </c>
      <c r="V667" s="1">
        <v>-47079166</v>
      </c>
      <c r="W667" t="s">
        <v>1450</v>
      </c>
      <c r="X667">
        <v>1</v>
      </c>
      <c r="Y667" t="s">
        <v>34</v>
      </c>
    </row>
    <row r="668" spans="1:25" x14ac:dyDescent="0.3">
      <c r="A668">
        <v>667</v>
      </c>
      <c r="B668">
        <v>668</v>
      </c>
      <c r="C668">
        <v>18754783000164</v>
      </c>
      <c r="D668">
        <v>19</v>
      </c>
      <c r="E668" t="s">
        <v>1590</v>
      </c>
      <c r="F668">
        <v>19</v>
      </c>
      <c r="G668" t="s">
        <v>1627</v>
      </c>
      <c r="H668" t="str">
        <f t="shared" si="10"/>
        <v>REDE 19 - BANDEIRA 19 - LOJA 668</v>
      </c>
      <c r="I668">
        <v>1</v>
      </c>
      <c r="J668" t="s">
        <v>26</v>
      </c>
      <c r="K668">
        <v>1</v>
      </c>
      <c r="L668" t="s">
        <v>1451</v>
      </c>
      <c r="M668">
        <v>32</v>
      </c>
      <c r="N668" t="s">
        <v>1436</v>
      </c>
      <c r="O668">
        <v>2</v>
      </c>
      <c r="P668" t="s">
        <v>37</v>
      </c>
      <c r="Q668" t="s">
        <v>38</v>
      </c>
      <c r="R668">
        <v>2</v>
      </c>
      <c r="S668" t="s">
        <v>39</v>
      </c>
      <c r="T668">
        <v>13140303</v>
      </c>
      <c r="U668" s="1">
        <v>-22768178</v>
      </c>
      <c r="V668" s="1">
        <v>-471511897</v>
      </c>
      <c r="W668" t="s">
        <v>1437</v>
      </c>
      <c r="X668">
        <v>1</v>
      </c>
      <c r="Y668" t="s">
        <v>34</v>
      </c>
    </row>
    <row r="669" spans="1:25" x14ac:dyDescent="0.3">
      <c r="A669">
        <v>668</v>
      </c>
      <c r="B669">
        <v>669</v>
      </c>
      <c r="C669">
        <v>18784087000109</v>
      </c>
      <c r="D669">
        <v>19</v>
      </c>
      <c r="E669" t="s">
        <v>1590</v>
      </c>
      <c r="F669">
        <v>19</v>
      </c>
      <c r="G669" t="s">
        <v>1627</v>
      </c>
      <c r="H669" t="str">
        <f t="shared" si="10"/>
        <v>REDE 19 - BANDEIRA 19 - LOJA 669</v>
      </c>
      <c r="I669">
        <v>1</v>
      </c>
      <c r="J669" t="s">
        <v>26</v>
      </c>
      <c r="K669">
        <v>2</v>
      </c>
      <c r="L669" t="s">
        <v>1452</v>
      </c>
      <c r="M669">
        <v>35</v>
      </c>
      <c r="N669" t="s">
        <v>1453</v>
      </c>
      <c r="O669">
        <v>2</v>
      </c>
      <c r="P669" t="s">
        <v>37</v>
      </c>
      <c r="Q669" t="s">
        <v>38</v>
      </c>
      <c r="R669">
        <v>2</v>
      </c>
      <c r="S669" t="s">
        <v>39</v>
      </c>
      <c r="T669">
        <v>13456134</v>
      </c>
      <c r="U669" s="1">
        <v>-22759646</v>
      </c>
      <c r="V669" s="1">
        <v>-47377636</v>
      </c>
      <c r="W669" t="s">
        <v>1454</v>
      </c>
      <c r="X669">
        <v>1</v>
      </c>
      <c r="Y669" t="s">
        <v>34</v>
      </c>
    </row>
    <row r="670" spans="1:25" x14ac:dyDescent="0.3">
      <c r="A670">
        <v>669</v>
      </c>
      <c r="B670">
        <v>670</v>
      </c>
      <c r="C670">
        <v>19174755000130</v>
      </c>
      <c r="D670">
        <v>19</v>
      </c>
      <c r="E670" t="s">
        <v>1590</v>
      </c>
      <c r="F670">
        <v>19</v>
      </c>
      <c r="G670" t="s">
        <v>1627</v>
      </c>
      <c r="H670" t="str">
        <f t="shared" si="10"/>
        <v>REDE 19 - BANDEIRA 19 - LOJA 670</v>
      </c>
      <c r="I670">
        <v>1</v>
      </c>
      <c r="J670" t="s">
        <v>26</v>
      </c>
      <c r="K670">
        <v>2</v>
      </c>
      <c r="L670" t="s">
        <v>1455</v>
      </c>
      <c r="M670">
        <v>30</v>
      </c>
      <c r="N670" t="s">
        <v>1432</v>
      </c>
      <c r="O670">
        <v>2</v>
      </c>
      <c r="P670" t="s">
        <v>37</v>
      </c>
      <c r="Q670" t="s">
        <v>38</v>
      </c>
      <c r="R670">
        <v>2</v>
      </c>
      <c r="S670" t="s">
        <v>39</v>
      </c>
      <c r="T670">
        <v>13274290</v>
      </c>
      <c r="U670" s="1">
        <v>-229572191</v>
      </c>
      <c r="V670" s="1">
        <v>-469841213</v>
      </c>
      <c r="W670" t="s">
        <v>1456</v>
      </c>
      <c r="X670">
        <v>1</v>
      </c>
      <c r="Y670" t="s">
        <v>34</v>
      </c>
    </row>
    <row r="671" spans="1:25" x14ac:dyDescent="0.3">
      <c r="A671">
        <v>670</v>
      </c>
      <c r="B671">
        <v>671</v>
      </c>
      <c r="C671">
        <v>19608735000120</v>
      </c>
      <c r="D671">
        <v>19</v>
      </c>
      <c r="E671" t="s">
        <v>1590</v>
      </c>
      <c r="F671">
        <v>19</v>
      </c>
      <c r="G671" t="s">
        <v>1627</v>
      </c>
      <c r="H671" t="str">
        <f t="shared" si="10"/>
        <v>REDE 19 - BANDEIRA 19 - LOJA 671</v>
      </c>
      <c r="I671">
        <v>1</v>
      </c>
      <c r="J671" t="s">
        <v>26</v>
      </c>
      <c r="K671">
        <v>2</v>
      </c>
      <c r="L671" t="s">
        <v>1457</v>
      </c>
      <c r="M671">
        <v>23</v>
      </c>
      <c r="N671" t="s">
        <v>1401</v>
      </c>
      <c r="O671">
        <v>2</v>
      </c>
      <c r="P671" t="s">
        <v>37</v>
      </c>
      <c r="Q671" t="s">
        <v>38</v>
      </c>
      <c r="R671">
        <v>2</v>
      </c>
      <c r="S671" t="s">
        <v>39</v>
      </c>
      <c r="T671">
        <v>12940610</v>
      </c>
      <c r="U671" s="1">
        <v>-2311443</v>
      </c>
      <c r="V671" s="1">
        <v>-465495701</v>
      </c>
      <c r="W671" t="s">
        <v>221</v>
      </c>
      <c r="X671">
        <v>1</v>
      </c>
      <c r="Y671" t="s">
        <v>34</v>
      </c>
    </row>
    <row r="672" spans="1:25" x14ac:dyDescent="0.3">
      <c r="A672">
        <v>671</v>
      </c>
      <c r="B672">
        <v>672</v>
      </c>
      <c r="C672">
        <v>19621537000105</v>
      </c>
      <c r="D672">
        <v>25</v>
      </c>
      <c r="E672" t="s">
        <v>1596</v>
      </c>
      <c r="F672">
        <v>25</v>
      </c>
      <c r="G672" t="s">
        <v>1633</v>
      </c>
      <c r="H672" t="str">
        <f t="shared" si="10"/>
        <v>REDE 25 - BANDEIRA 25 - LOJA 672</v>
      </c>
      <c r="I672">
        <v>1</v>
      </c>
      <c r="J672" t="s">
        <v>26</v>
      </c>
      <c r="K672">
        <v>1</v>
      </c>
      <c r="L672" t="s">
        <v>1458</v>
      </c>
      <c r="M672">
        <v>25</v>
      </c>
      <c r="N672" t="s">
        <v>1406</v>
      </c>
      <c r="O672">
        <v>2</v>
      </c>
      <c r="P672" t="s">
        <v>37</v>
      </c>
      <c r="Q672" t="s">
        <v>38</v>
      </c>
      <c r="R672">
        <v>2</v>
      </c>
      <c r="S672" t="s">
        <v>39</v>
      </c>
      <c r="T672">
        <v>13087901</v>
      </c>
      <c r="U672" s="1">
        <v>-228475663</v>
      </c>
      <c r="V672" s="1">
        <v>-4706310449999990</v>
      </c>
      <c r="W672" t="s">
        <v>1459</v>
      </c>
      <c r="X672">
        <v>1</v>
      </c>
      <c r="Y672" t="s">
        <v>34</v>
      </c>
    </row>
    <row r="673" spans="1:25" x14ac:dyDescent="0.3">
      <c r="A673">
        <v>672</v>
      </c>
      <c r="B673">
        <v>673</v>
      </c>
      <c r="C673">
        <v>19687142000105</v>
      </c>
      <c r="D673">
        <v>19</v>
      </c>
      <c r="E673" t="s">
        <v>1590</v>
      </c>
      <c r="F673">
        <v>19</v>
      </c>
      <c r="G673" t="s">
        <v>1627</v>
      </c>
      <c r="H673" t="str">
        <f t="shared" si="10"/>
        <v>REDE 19 - BANDEIRA 19 - LOJA 673</v>
      </c>
      <c r="I673">
        <v>1</v>
      </c>
      <c r="J673" t="s">
        <v>26</v>
      </c>
      <c r="K673">
        <v>2</v>
      </c>
      <c r="L673" t="s">
        <v>1460</v>
      </c>
      <c r="M673">
        <v>36</v>
      </c>
      <c r="N673" t="s">
        <v>1461</v>
      </c>
      <c r="O673">
        <v>2</v>
      </c>
      <c r="P673" t="s">
        <v>37</v>
      </c>
      <c r="Q673" t="s">
        <v>38</v>
      </c>
      <c r="R673">
        <v>2</v>
      </c>
      <c r="S673" t="s">
        <v>39</v>
      </c>
      <c r="T673">
        <v>12916010</v>
      </c>
      <c r="U673" s="1">
        <v>-229742744</v>
      </c>
      <c r="V673" s="1">
        <v>-465354743</v>
      </c>
      <c r="W673" t="s">
        <v>1462</v>
      </c>
      <c r="X673">
        <v>1</v>
      </c>
      <c r="Y673" t="s">
        <v>34</v>
      </c>
    </row>
    <row r="674" spans="1:25" x14ac:dyDescent="0.3">
      <c r="A674">
        <v>673</v>
      </c>
      <c r="B674">
        <v>674</v>
      </c>
      <c r="C674">
        <v>19704018000100</v>
      </c>
      <c r="D674">
        <v>19</v>
      </c>
      <c r="E674" t="s">
        <v>1590</v>
      </c>
      <c r="F674">
        <v>19</v>
      </c>
      <c r="G674" t="s">
        <v>1627</v>
      </c>
      <c r="H674" t="str">
        <f t="shared" si="10"/>
        <v>REDE 19 - BANDEIRA 19 - LOJA 674</v>
      </c>
      <c r="I674">
        <v>1</v>
      </c>
      <c r="J674" t="s">
        <v>26</v>
      </c>
      <c r="K674">
        <v>1</v>
      </c>
      <c r="L674" t="s">
        <v>1463</v>
      </c>
      <c r="M674">
        <v>34</v>
      </c>
      <c r="N674" t="s">
        <v>1447</v>
      </c>
      <c r="O674">
        <v>2</v>
      </c>
      <c r="P674" t="s">
        <v>37</v>
      </c>
      <c r="Q674" t="s">
        <v>38</v>
      </c>
      <c r="R674">
        <v>2</v>
      </c>
      <c r="S674" t="s">
        <v>39</v>
      </c>
      <c r="T674">
        <v>13478540</v>
      </c>
      <c r="U674" s="1">
        <v>-227394838</v>
      </c>
      <c r="V674" s="1">
        <v>-4731268619999990</v>
      </c>
      <c r="W674" t="s">
        <v>1464</v>
      </c>
      <c r="X674">
        <v>1</v>
      </c>
      <c r="Y674" t="s">
        <v>34</v>
      </c>
    </row>
    <row r="675" spans="1:25" x14ac:dyDescent="0.3">
      <c r="A675">
        <v>674</v>
      </c>
      <c r="B675">
        <v>675</v>
      </c>
      <c r="C675">
        <v>21157828000128</v>
      </c>
      <c r="D675">
        <v>25</v>
      </c>
      <c r="E675" t="s">
        <v>1596</v>
      </c>
      <c r="F675">
        <v>25</v>
      </c>
      <c r="G675" t="s">
        <v>1633</v>
      </c>
      <c r="H675" t="str">
        <f t="shared" si="10"/>
        <v>REDE 25 - BANDEIRA 25 - LOJA 675</v>
      </c>
      <c r="I675">
        <v>1</v>
      </c>
      <c r="J675" t="s">
        <v>26</v>
      </c>
      <c r="K675">
        <v>1</v>
      </c>
      <c r="L675" t="s">
        <v>1465</v>
      </c>
      <c r="M675">
        <v>25</v>
      </c>
      <c r="N675" t="s">
        <v>1406</v>
      </c>
      <c r="O675">
        <v>2</v>
      </c>
      <c r="P675" t="s">
        <v>37</v>
      </c>
      <c r="Q675" t="s">
        <v>38</v>
      </c>
      <c r="R675">
        <v>2</v>
      </c>
      <c r="S675" t="s">
        <v>39</v>
      </c>
      <c r="T675">
        <v>13092902</v>
      </c>
      <c r="U675" s="1">
        <v>-228924713</v>
      </c>
      <c r="V675" s="1">
        <v>-470274464</v>
      </c>
      <c r="W675" t="s">
        <v>1466</v>
      </c>
      <c r="X675">
        <v>1</v>
      </c>
      <c r="Y675" t="s">
        <v>34</v>
      </c>
    </row>
    <row r="676" spans="1:25" x14ac:dyDescent="0.3">
      <c r="A676">
        <v>675</v>
      </c>
      <c r="B676">
        <v>676</v>
      </c>
      <c r="C676">
        <v>21379301000148</v>
      </c>
      <c r="D676">
        <v>19</v>
      </c>
      <c r="E676" t="s">
        <v>1590</v>
      </c>
      <c r="F676">
        <v>19</v>
      </c>
      <c r="G676" t="s">
        <v>1627</v>
      </c>
      <c r="H676" t="str">
        <f t="shared" si="10"/>
        <v>REDE 19 - BANDEIRA 19 - LOJA 676</v>
      </c>
      <c r="I676">
        <v>1</v>
      </c>
      <c r="J676" t="s">
        <v>26</v>
      </c>
      <c r="K676">
        <v>2</v>
      </c>
      <c r="L676" t="s">
        <v>1467</v>
      </c>
      <c r="M676">
        <v>29</v>
      </c>
      <c r="N676" t="s">
        <v>1425</v>
      </c>
      <c r="O676">
        <v>2</v>
      </c>
      <c r="P676" t="s">
        <v>37</v>
      </c>
      <c r="Q676" t="s">
        <v>38</v>
      </c>
      <c r="R676">
        <v>2</v>
      </c>
      <c r="S676" t="s">
        <v>39</v>
      </c>
      <c r="T676">
        <v>18053130</v>
      </c>
      <c r="U676" s="1">
        <v>-235034043</v>
      </c>
      <c r="V676" s="1">
        <v>-475186571</v>
      </c>
      <c r="W676" t="s">
        <v>1468</v>
      </c>
      <c r="X676">
        <v>1</v>
      </c>
      <c r="Y676" t="s">
        <v>34</v>
      </c>
    </row>
    <row r="677" spans="1:25" x14ac:dyDescent="0.3">
      <c r="A677">
        <v>676</v>
      </c>
      <c r="B677">
        <v>677</v>
      </c>
      <c r="C677">
        <v>21379301000229</v>
      </c>
      <c r="D677">
        <v>19</v>
      </c>
      <c r="E677" t="s">
        <v>1590</v>
      </c>
      <c r="F677">
        <v>19</v>
      </c>
      <c r="G677" t="s">
        <v>1627</v>
      </c>
      <c r="H677" t="str">
        <f t="shared" si="10"/>
        <v>REDE 19 - BANDEIRA 19 - LOJA 677</v>
      </c>
      <c r="I677">
        <v>1</v>
      </c>
      <c r="J677" t="s">
        <v>26</v>
      </c>
      <c r="K677">
        <v>2</v>
      </c>
      <c r="L677" t="s">
        <v>1469</v>
      </c>
      <c r="M677">
        <v>29</v>
      </c>
      <c r="N677" t="s">
        <v>1425</v>
      </c>
      <c r="O677">
        <v>2</v>
      </c>
      <c r="P677" t="s">
        <v>37</v>
      </c>
      <c r="Q677" t="s">
        <v>38</v>
      </c>
      <c r="R677">
        <v>2</v>
      </c>
      <c r="S677" t="s">
        <v>39</v>
      </c>
      <c r="T677">
        <v>18055132</v>
      </c>
      <c r="U677" s="1">
        <v>-23504106</v>
      </c>
      <c r="V677" s="1">
        <v>-474945319</v>
      </c>
      <c r="W677" t="s">
        <v>1470</v>
      </c>
      <c r="X677">
        <v>1</v>
      </c>
      <c r="Y677" t="s">
        <v>34</v>
      </c>
    </row>
    <row r="678" spans="1:25" x14ac:dyDescent="0.3">
      <c r="A678">
        <v>677</v>
      </c>
      <c r="B678">
        <v>678</v>
      </c>
      <c r="C678">
        <v>21743598000189</v>
      </c>
      <c r="D678">
        <v>19</v>
      </c>
      <c r="E678" t="s">
        <v>1590</v>
      </c>
      <c r="F678">
        <v>19</v>
      </c>
      <c r="G678" t="s">
        <v>1627</v>
      </c>
      <c r="H678" t="str">
        <f t="shared" si="10"/>
        <v>REDE 19 - BANDEIRA 19 - LOJA 678</v>
      </c>
      <c r="I678">
        <v>1</v>
      </c>
      <c r="J678" t="s">
        <v>26</v>
      </c>
      <c r="K678">
        <v>2</v>
      </c>
      <c r="L678" t="s">
        <v>1471</v>
      </c>
      <c r="M678">
        <v>37</v>
      </c>
      <c r="N678" t="s">
        <v>1472</v>
      </c>
      <c r="O678">
        <v>2</v>
      </c>
      <c r="P678" t="s">
        <v>37</v>
      </c>
      <c r="Q678" t="s">
        <v>38</v>
      </c>
      <c r="R678">
        <v>2</v>
      </c>
      <c r="S678" t="s">
        <v>39</v>
      </c>
      <c r="T678">
        <v>13309050</v>
      </c>
      <c r="U678" s="1">
        <v>-232752441</v>
      </c>
      <c r="V678" s="1">
        <v>-472906901</v>
      </c>
      <c r="W678" t="s">
        <v>1473</v>
      </c>
      <c r="X678">
        <v>1</v>
      </c>
      <c r="Y678" t="s">
        <v>34</v>
      </c>
    </row>
    <row r="679" spans="1:25" x14ac:dyDescent="0.3">
      <c r="A679">
        <v>678</v>
      </c>
      <c r="B679">
        <v>679</v>
      </c>
      <c r="C679">
        <v>24053005000140</v>
      </c>
      <c r="D679">
        <v>19</v>
      </c>
      <c r="E679" t="s">
        <v>1590</v>
      </c>
      <c r="F679">
        <v>19</v>
      </c>
      <c r="G679" t="s">
        <v>1627</v>
      </c>
      <c r="H679" t="str">
        <f t="shared" si="10"/>
        <v>REDE 19 - BANDEIRA 19 - LOJA 679</v>
      </c>
      <c r="I679">
        <v>1</v>
      </c>
      <c r="J679" t="s">
        <v>26</v>
      </c>
      <c r="K679">
        <v>2</v>
      </c>
      <c r="L679" t="s">
        <v>1474</v>
      </c>
      <c r="M679">
        <v>29</v>
      </c>
      <c r="N679" t="s">
        <v>1425</v>
      </c>
      <c r="O679">
        <v>2</v>
      </c>
      <c r="P679" t="s">
        <v>37</v>
      </c>
      <c r="Q679" t="s">
        <v>38</v>
      </c>
      <c r="R679">
        <v>2</v>
      </c>
      <c r="S679" t="s">
        <v>39</v>
      </c>
      <c r="T679">
        <v>18051240</v>
      </c>
      <c r="U679" s="1">
        <v>-235177557</v>
      </c>
      <c r="V679" s="1">
        <v>-475093746</v>
      </c>
      <c r="W679" t="s">
        <v>1475</v>
      </c>
      <c r="X679">
        <v>1</v>
      </c>
      <c r="Y679" t="s">
        <v>34</v>
      </c>
    </row>
    <row r="680" spans="1:25" x14ac:dyDescent="0.3">
      <c r="A680">
        <v>679</v>
      </c>
      <c r="B680">
        <v>680</v>
      </c>
      <c r="C680">
        <v>24778921000148</v>
      </c>
      <c r="D680">
        <v>19</v>
      </c>
      <c r="E680" t="s">
        <v>1590</v>
      </c>
      <c r="F680">
        <v>19</v>
      </c>
      <c r="G680" t="s">
        <v>1627</v>
      </c>
      <c r="H680" t="str">
        <f t="shared" si="10"/>
        <v>REDE 19 - BANDEIRA 19 - LOJA 680</v>
      </c>
      <c r="I680">
        <v>1</v>
      </c>
      <c r="J680" t="s">
        <v>26</v>
      </c>
      <c r="K680">
        <v>2</v>
      </c>
      <c r="L680" t="s">
        <v>1476</v>
      </c>
      <c r="M680">
        <v>34</v>
      </c>
      <c r="N680" t="s">
        <v>1447</v>
      </c>
      <c r="O680">
        <v>2</v>
      </c>
      <c r="P680" t="s">
        <v>37</v>
      </c>
      <c r="Q680" t="s">
        <v>38</v>
      </c>
      <c r="R680">
        <v>2</v>
      </c>
      <c r="S680" t="s">
        <v>39</v>
      </c>
      <c r="T680">
        <v>13465520</v>
      </c>
      <c r="U680" s="1">
        <v>-22739908</v>
      </c>
      <c r="V680" s="1">
        <v>-4733537099999990</v>
      </c>
      <c r="W680" t="s">
        <v>221</v>
      </c>
      <c r="X680">
        <v>1</v>
      </c>
      <c r="Y680" t="s">
        <v>34</v>
      </c>
    </row>
    <row r="681" spans="1:25" x14ac:dyDescent="0.3">
      <c r="A681">
        <v>680</v>
      </c>
      <c r="B681">
        <v>681</v>
      </c>
      <c r="C681">
        <v>25059699000196</v>
      </c>
      <c r="D681">
        <v>19</v>
      </c>
      <c r="E681" t="s">
        <v>1590</v>
      </c>
      <c r="F681">
        <v>19</v>
      </c>
      <c r="G681" t="s">
        <v>1627</v>
      </c>
      <c r="H681" t="str">
        <f t="shared" si="10"/>
        <v>REDE 19 - BANDEIRA 19 - LOJA 681</v>
      </c>
      <c r="I681">
        <v>1</v>
      </c>
      <c r="J681" t="s">
        <v>26</v>
      </c>
      <c r="K681">
        <v>2</v>
      </c>
      <c r="L681" t="s">
        <v>1477</v>
      </c>
      <c r="M681">
        <v>25</v>
      </c>
      <c r="N681" t="s">
        <v>1406</v>
      </c>
      <c r="O681">
        <v>2</v>
      </c>
      <c r="P681" t="s">
        <v>37</v>
      </c>
      <c r="Q681" t="s">
        <v>38</v>
      </c>
      <c r="R681">
        <v>2</v>
      </c>
      <c r="S681" t="s">
        <v>39</v>
      </c>
      <c r="T681">
        <v>13087380</v>
      </c>
      <c r="U681" s="1">
        <v>-228680108</v>
      </c>
      <c r="V681" s="1">
        <v>-470648217</v>
      </c>
      <c r="W681" t="s">
        <v>1478</v>
      </c>
      <c r="X681">
        <v>1</v>
      </c>
      <c r="Y681" t="s">
        <v>34</v>
      </c>
    </row>
    <row r="682" spans="1:25" x14ac:dyDescent="0.3">
      <c r="A682">
        <v>681</v>
      </c>
      <c r="B682">
        <v>682</v>
      </c>
      <c r="C682">
        <v>26005257000120</v>
      </c>
      <c r="D682">
        <v>19</v>
      </c>
      <c r="E682" t="s">
        <v>1590</v>
      </c>
      <c r="F682">
        <v>19</v>
      </c>
      <c r="G682" t="s">
        <v>1627</v>
      </c>
      <c r="H682" t="str">
        <f t="shared" si="10"/>
        <v>REDE 19 - BANDEIRA 19 - LOJA 682</v>
      </c>
      <c r="I682">
        <v>1</v>
      </c>
      <c r="J682" t="s">
        <v>26</v>
      </c>
      <c r="K682">
        <v>2</v>
      </c>
      <c r="L682" t="s">
        <v>1479</v>
      </c>
      <c r="M682">
        <v>25</v>
      </c>
      <c r="N682" t="s">
        <v>1406</v>
      </c>
      <c r="O682">
        <v>2</v>
      </c>
      <c r="P682" t="s">
        <v>37</v>
      </c>
      <c r="Q682" t="s">
        <v>38</v>
      </c>
      <c r="R682">
        <v>2</v>
      </c>
      <c r="S682" t="s">
        <v>39</v>
      </c>
      <c r="T682">
        <v>13045635</v>
      </c>
      <c r="U682" s="1">
        <v>-229312181</v>
      </c>
      <c r="V682" s="1">
        <v>-470381526</v>
      </c>
      <c r="W682" t="s">
        <v>1480</v>
      </c>
      <c r="X682">
        <v>1</v>
      </c>
      <c r="Y682" t="s">
        <v>34</v>
      </c>
    </row>
    <row r="683" spans="1:25" x14ac:dyDescent="0.3">
      <c r="A683">
        <v>682</v>
      </c>
      <c r="B683">
        <v>683</v>
      </c>
      <c r="C683">
        <v>27433919000125</v>
      </c>
      <c r="D683">
        <v>19</v>
      </c>
      <c r="E683" t="s">
        <v>1590</v>
      </c>
      <c r="F683">
        <v>19</v>
      </c>
      <c r="G683" t="s">
        <v>1627</v>
      </c>
      <c r="H683" t="str">
        <f t="shared" si="10"/>
        <v>REDE 19 - BANDEIRA 19 - LOJA 683</v>
      </c>
      <c r="I683">
        <v>1</v>
      </c>
      <c r="J683" t="s">
        <v>26</v>
      </c>
      <c r="K683">
        <v>2</v>
      </c>
      <c r="L683" t="s">
        <v>1429</v>
      </c>
      <c r="M683">
        <v>25</v>
      </c>
      <c r="N683" t="s">
        <v>1406</v>
      </c>
      <c r="O683">
        <v>2</v>
      </c>
      <c r="P683" t="s">
        <v>37</v>
      </c>
      <c r="Q683" t="s">
        <v>38</v>
      </c>
      <c r="R683">
        <v>2</v>
      </c>
      <c r="S683" t="s">
        <v>39</v>
      </c>
      <c r="T683">
        <v>13025151</v>
      </c>
      <c r="U683" s="1">
        <v>-22894781</v>
      </c>
      <c r="V683" s="1">
        <v>-470523533</v>
      </c>
      <c r="W683" t="s">
        <v>1416</v>
      </c>
      <c r="X683">
        <v>1</v>
      </c>
      <c r="Y683" t="s">
        <v>34</v>
      </c>
    </row>
    <row r="684" spans="1:25" x14ac:dyDescent="0.3">
      <c r="A684">
        <v>683</v>
      </c>
      <c r="B684">
        <v>684</v>
      </c>
      <c r="C684">
        <v>27527294000160</v>
      </c>
      <c r="D684">
        <v>19</v>
      </c>
      <c r="E684" t="s">
        <v>1590</v>
      </c>
      <c r="F684">
        <v>19</v>
      </c>
      <c r="G684" t="s">
        <v>1627</v>
      </c>
      <c r="H684" t="str">
        <f t="shared" si="10"/>
        <v>REDE 19 - BANDEIRA 19 - LOJA 684</v>
      </c>
      <c r="I684">
        <v>1</v>
      </c>
      <c r="J684" t="s">
        <v>26</v>
      </c>
      <c r="K684">
        <v>2</v>
      </c>
      <c r="L684" t="s">
        <v>1481</v>
      </c>
      <c r="M684">
        <v>26</v>
      </c>
      <c r="N684" t="s">
        <v>1409</v>
      </c>
      <c r="O684">
        <v>2</v>
      </c>
      <c r="P684" t="s">
        <v>37</v>
      </c>
      <c r="Q684" t="s">
        <v>38</v>
      </c>
      <c r="R684">
        <v>2</v>
      </c>
      <c r="S684" t="s">
        <v>39</v>
      </c>
      <c r="T684">
        <v>13212210</v>
      </c>
      <c r="U684" s="1">
        <v>-231884868</v>
      </c>
      <c r="V684" s="1">
        <v>-4696551669999990</v>
      </c>
      <c r="W684" t="s">
        <v>1482</v>
      </c>
      <c r="X684">
        <v>1</v>
      </c>
      <c r="Y684" t="s">
        <v>34</v>
      </c>
    </row>
    <row r="685" spans="1:25" x14ac:dyDescent="0.3">
      <c r="A685">
        <v>684</v>
      </c>
      <c r="B685">
        <v>685</v>
      </c>
      <c r="C685">
        <v>27737257000187</v>
      </c>
      <c r="D685">
        <v>19</v>
      </c>
      <c r="E685" t="s">
        <v>1590</v>
      </c>
      <c r="F685">
        <v>19</v>
      </c>
      <c r="G685" t="s">
        <v>1627</v>
      </c>
      <c r="H685" t="str">
        <f t="shared" si="10"/>
        <v>REDE 19 - BANDEIRA 19 - LOJA 685</v>
      </c>
      <c r="I685">
        <v>1</v>
      </c>
      <c r="J685" t="s">
        <v>26</v>
      </c>
      <c r="K685">
        <v>2</v>
      </c>
      <c r="L685" t="s">
        <v>1483</v>
      </c>
      <c r="M685">
        <v>38</v>
      </c>
      <c r="N685" t="s">
        <v>1484</v>
      </c>
      <c r="O685">
        <v>2</v>
      </c>
      <c r="P685" t="s">
        <v>37</v>
      </c>
      <c r="Q685" t="s">
        <v>38</v>
      </c>
      <c r="R685">
        <v>2</v>
      </c>
      <c r="S685" t="s">
        <v>39</v>
      </c>
      <c r="T685">
        <v>13295114</v>
      </c>
      <c r="U685" s="1">
        <v>-231558235</v>
      </c>
      <c r="V685" s="1">
        <v>-470590102</v>
      </c>
      <c r="W685" t="s">
        <v>1485</v>
      </c>
      <c r="X685">
        <v>1</v>
      </c>
      <c r="Y685" t="s">
        <v>34</v>
      </c>
    </row>
    <row r="686" spans="1:25" x14ac:dyDescent="0.3">
      <c r="A686">
        <v>685</v>
      </c>
      <c r="B686">
        <v>686</v>
      </c>
      <c r="C686">
        <v>28352365000102</v>
      </c>
      <c r="D686">
        <v>19</v>
      </c>
      <c r="E686" t="s">
        <v>1590</v>
      </c>
      <c r="F686">
        <v>19</v>
      </c>
      <c r="G686" t="s">
        <v>1627</v>
      </c>
      <c r="H686" t="str">
        <f t="shared" si="10"/>
        <v>REDE 19 - BANDEIRA 19 - LOJA 686</v>
      </c>
      <c r="I686">
        <v>1</v>
      </c>
      <c r="J686" t="s">
        <v>26</v>
      </c>
      <c r="K686">
        <v>2</v>
      </c>
      <c r="L686" t="s">
        <v>1486</v>
      </c>
      <c r="M686">
        <v>34</v>
      </c>
      <c r="N686" t="s">
        <v>1447</v>
      </c>
      <c r="O686">
        <v>2</v>
      </c>
      <c r="P686" t="s">
        <v>37</v>
      </c>
      <c r="Q686" t="s">
        <v>38</v>
      </c>
      <c r="R686">
        <v>2</v>
      </c>
      <c r="S686" t="s">
        <v>39</v>
      </c>
      <c r="T686">
        <v>13467600</v>
      </c>
      <c r="U686" s="1">
        <v>-227692203</v>
      </c>
      <c r="V686" s="1">
        <v>-47344262</v>
      </c>
      <c r="W686" t="s">
        <v>1487</v>
      </c>
      <c r="X686">
        <v>1</v>
      </c>
      <c r="Y686" t="s">
        <v>34</v>
      </c>
    </row>
    <row r="687" spans="1:25" x14ac:dyDescent="0.3">
      <c r="A687">
        <v>686</v>
      </c>
      <c r="B687">
        <v>687</v>
      </c>
      <c r="C687">
        <v>28533589000102</v>
      </c>
      <c r="D687">
        <v>19</v>
      </c>
      <c r="E687" t="s">
        <v>1590</v>
      </c>
      <c r="F687">
        <v>19</v>
      </c>
      <c r="G687" t="s">
        <v>1627</v>
      </c>
      <c r="H687" t="str">
        <f t="shared" si="10"/>
        <v>REDE 19 - BANDEIRA 19 - LOJA 687</v>
      </c>
      <c r="I687">
        <v>1</v>
      </c>
      <c r="J687" t="s">
        <v>26</v>
      </c>
      <c r="K687">
        <v>2</v>
      </c>
      <c r="L687" t="s">
        <v>1488</v>
      </c>
      <c r="M687">
        <v>29</v>
      </c>
      <c r="N687" t="s">
        <v>1425</v>
      </c>
      <c r="O687">
        <v>2</v>
      </c>
      <c r="P687" t="s">
        <v>37</v>
      </c>
      <c r="Q687" t="s">
        <v>38</v>
      </c>
      <c r="R687">
        <v>2</v>
      </c>
      <c r="S687" t="s">
        <v>39</v>
      </c>
      <c r="T687">
        <v>18065370</v>
      </c>
      <c r="U687" s="1">
        <v>-23484281</v>
      </c>
      <c r="V687" s="1">
        <v>-474799254</v>
      </c>
      <c r="W687" t="s">
        <v>1489</v>
      </c>
      <c r="X687">
        <v>1</v>
      </c>
      <c r="Y687" t="s">
        <v>34</v>
      </c>
    </row>
    <row r="688" spans="1:25" x14ac:dyDescent="0.3">
      <c r="A688">
        <v>687</v>
      </c>
      <c r="B688">
        <v>688</v>
      </c>
      <c r="C688">
        <v>28732784000161</v>
      </c>
      <c r="D688">
        <v>19</v>
      </c>
      <c r="E688" t="s">
        <v>1590</v>
      </c>
      <c r="F688">
        <v>19</v>
      </c>
      <c r="G688" t="s">
        <v>1627</v>
      </c>
      <c r="H688" t="str">
        <f t="shared" si="10"/>
        <v>REDE 19 - BANDEIRA 19 - LOJA 688</v>
      </c>
      <c r="I688">
        <v>1</v>
      </c>
      <c r="J688" t="s">
        <v>26</v>
      </c>
      <c r="K688">
        <v>2</v>
      </c>
      <c r="L688" t="s">
        <v>1490</v>
      </c>
      <c r="M688">
        <v>29</v>
      </c>
      <c r="N688" t="s">
        <v>1425</v>
      </c>
      <c r="O688">
        <v>2</v>
      </c>
      <c r="P688" t="s">
        <v>37</v>
      </c>
      <c r="Q688" t="s">
        <v>38</v>
      </c>
      <c r="R688">
        <v>2</v>
      </c>
      <c r="S688" t="s">
        <v>39</v>
      </c>
      <c r="T688">
        <v>18047626</v>
      </c>
      <c r="U688" s="1">
        <v>-235222482</v>
      </c>
      <c r="V688" s="1">
        <v>-474658764</v>
      </c>
      <c r="W688" t="s">
        <v>1428</v>
      </c>
      <c r="X688">
        <v>1</v>
      </c>
      <c r="Y688" t="s">
        <v>34</v>
      </c>
    </row>
    <row r="689" spans="1:25" x14ac:dyDescent="0.3">
      <c r="A689">
        <v>688</v>
      </c>
      <c r="B689">
        <v>689</v>
      </c>
      <c r="C689">
        <v>29089057000190</v>
      </c>
      <c r="D689">
        <v>25</v>
      </c>
      <c r="E689" t="s">
        <v>1596</v>
      </c>
      <c r="F689">
        <v>25</v>
      </c>
      <c r="G689" t="s">
        <v>1633</v>
      </c>
      <c r="H689" t="str">
        <f t="shared" si="10"/>
        <v>REDE 25 - BANDEIRA 25 - LOJA 689</v>
      </c>
      <c r="I689">
        <v>1</v>
      </c>
      <c r="J689" t="s">
        <v>26</v>
      </c>
      <c r="K689">
        <v>1</v>
      </c>
      <c r="L689" t="s">
        <v>1491</v>
      </c>
      <c r="M689">
        <v>25</v>
      </c>
      <c r="N689" t="s">
        <v>1406</v>
      </c>
      <c r="O689">
        <v>2</v>
      </c>
      <c r="P689" t="s">
        <v>37</v>
      </c>
      <c r="Q689" t="s">
        <v>38</v>
      </c>
      <c r="R689">
        <v>2</v>
      </c>
      <c r="S689" t="s">
        <v>39</v>
      </c>
      <c r="T689">
        <v>13010002</v>
      </c>
      <c r="U689" s="1">
        <v>-229054137</v>
      </c>
      <c r="V689" s="1">
        <v>-470509485</v>
      </c>
      <c r="W689" t="s">
        <v>221</v>
      </c>
      <c r="X689">
        <v>1</v>
      </c>
      <c r="Y689" t="s">
        <v>34</v>
      </c>
    </row>
    <row r="690" spans="1:25" x14ac:dyDescent="0.3">
      <c r="A690">
        <v>689</v>
      </c>
      <c r="B690">
        <v>690</v>
      </c>
      <c r="C690">
        <v>29646746000159</v>
      </c>
      <c r="D690">
        <v>19</v>
      </c>
      <c r="E690" t="s">
        <v>1590</v>
      </c>
      <c r="F690">
        <v>19</v>
      </c>
      <c r="G690" t="s">
        <v>1627</v>
      </c>
      <c r="H690" t="str">
        <f t="shared" si="10"/>
        <v>REDE 19 - BANDEIRA 19 - LOJA 690</v>
      </c>
      <c r="I690">
        <v>1</v>
      </c>
      <c r="J690" t="s">
        <v>26</v>
      </c>
      <c r="K690">
        <v>2</v>
      </c>
      <c r="L690" t="s">
        <v>1492</v>
      </c>
      <c r="M690">
        <v>25</v>
      </c>
      <c r="N690" t="s">
        <v>1406</v>
      </c>
      <c r="O690">
        <v>2</v>
      </c>
      <c r="P690" t="s">
        <v>37</v>
      </c>
      <c r="Q690" t="s">
        <v>38</v>
      </c>
      <c r="R690">
        <v>2</v>
      </c>
      <c r="S690" t="s">
        <v>39</v>
      </c>
      <c r="T690">
        <v>13025241</v>
      </c>
      <c r="U690" s="1">
        <v>-228931748</v>
      </c>
      <c r="V690" s="1">
        <v>-470504529</v>
      </c>
      <c r="W690" t="s">
        <v>1416</v>
      </c>
      <c r="X690">
        <v>1</v>
      </c>
      <c r="Y690" t="s">
        <v>34</v>
      </c>
    </row>
    <row r="691" spans="1:25" x14ac:dyDescent="0.3">
      <c r="A691">
        <v>690</v>
      </c>
      <c r="B691">
        <v>691</v>
      </c>
      <c r="C691">
        <v>29646746000230</v>
      </c>
      <c r="D691">
        <v>19</v>
      </c>
      <c r="E691" t="s">
        <v>1590</v>
      </c>
      <c r="F691">
        <v>19</v>
      </c>
      <c r="G691" t="s">
        <v>1627</v>
      </c>
      <c r="H691" t="str">
        <f t="shared" si="10"/>
        <v>REDE 19 - BANDEIRA 19 - LOJA 691</v>
      </c>
      <c r="I691">
        <v>1</v>
      </c>
      <c r="J691" t="s">
        <v>26</v>
      </c>
      <c r="K691">
        <v>2</v>
      </c>
      <c r="L691" t="s">
        <v>1465</v>
      </c>
      <c r="M691">
        <v>25</v>
      </c>
      <c r="N691" t="s">
        <v>1406</v>
      </c>
      <c r="O691">
        <v>2</v>
      </c>
      <c r="P691" t="s">
        <v>37</v>
      </c>
      <c r="Q691" t="s">
        <v>38</v>
      </c>
      <c r="R691">
        <v>2</v>
      </c>
      <c r="S691" t="s">
        <v>39</v>
      </c>
      <c r="T691">
        <v>13092902</v>
      </c>
      <c r="U691" s="1">
        <v>-228924607</v>
      </c>
      <c r="V691" s="1">
        <v>-47027516</v>
      </c>
      <c r="W691" t="s">
        <v>1466</v>
      </c>
      <c r="X691">
        <v>1</v>
      </c>
      <c r="Y691" t="s">
        <v>34</v>
      </c>
    </row>
    <row r="692" spans="1:25" x14ac:dyDescent="0.3">
      <c r="A692">
        <v>691</v>
      </c>
      <c r="B692">
        <v>692</v>
      </c>
      <c r="C692">
        <v>30385383000124</v>
      </c>
      <c r="D692">
        <v>19</v>
      </c>
      <c r="E692" t="s">
        <v>1590</v>
      </c>
      <c r="F692">
        <v>19</v>
      </c>
      <c r="G692" t="s">
        <v>1627</v>
      </c>
      <c r="H692" t="str">
        <f t="shared" si="10"/>
        <v>REDE 19 - BANDEIRA 19 - LOJA 692</v>
      </c>
      <c r="I692">
        <v>1</v>
      </c>
      <c r="J692" t="s">
        <v>26</v>
      </c>
      <c r="K692">
        <v>2</v>
      </c>
      <c r="L692" t="s">
        <v>1493</v>
      </c>
      <c r="M692">
        <v>32</v>
      </c>
      <c r="N692" t="s">
        <v>1436</v>
      </c>
      <c r="O692">
        <v>2</v>
      </c>
      <c r="P692" t="s">
        <v>37</v>
      </c>
      <c r="Q692" t="s">
        <v>38</v>
      </c>
      <c r="R692">
        <v>2</v>
      </c>
      <c r="S692" t="s">
        <v>39</v>
      </c>
      <c r="T692">
        <v>13145362</v>
      </c>
      <c r="U692" s="1">
        <v>-22743351</v>
      </c>
      <c r="V692" s="1">
        <v>-471746217</v>
      </c>
      <c r="W692" t="s">
        <v>457</v>
      </c>
      <c r="X692">
        <v>1</v>
      </c>
      <c r="Y692" t="s">
        <v>34</v>
      </c>
    </row>
    <row r="693" spans="1:25" x14ac:dyDescent="0.3">
      <c r="A693">
        <v>692</v>
      </c>
      <c r="B693">
        <v>693</v>
      </c>
      <c r="C693">
        <v>30537704000169</v>
      </c>
      <c r="D693">
        <v>19</v>
      </c>
      <c r="E693" t="s">
        <v>1590</v>
      </c>
      <c r="F693">
        <v>19</v>
      </c>
      <c r="G693" t="s">
        <v>1627</v>
      </c>
      <c r="H693" t="str">
        <f t="shared" si="10"/>
        <v>REDE 19 - BANDEIRA 19 - LOJA 693</v>
      </c>
      <c r="I693">
        <v>1</v>
      </c>
      <c r="J693" t="s">
        <v>26</v>
      </c>
      <c r="K693">
        <v>2</v>
      </c>
      <c r="L693" t="s">
        <v>1494</v>
      </c>
      <c r="M693">
        <v>24</v>
      </c>
      <c r="N693" t="s">
        <v>1403</v>
      </c>
      <c r="O693">
        <v>2</v>
      </c>
      <c r="P693" t="s">
        <v>37</v>
      </c>
      <c r="Q693" t="s">
        <v>38</v>
      </c>
      <c r="R693">
        <v>2</v>
      </c>
      <c r="S693" t="s">
        <v>39</v>
      </c>
      <c r="T693">
        <v>18113140</v>
      </c>
      <c r="U693" s="1">
        <v>-235378574</v>
      </c>
      <c r="V693" s="1">
        <v>-474201103</v>
      </c>
      <c r="W693" t="s">
        <v>163</v>
      </c>
      <c r="X693">
        <v>1</v>
      </c>
      <c r="Y693" t="s">
        <v>34</v>
      </c>
    </row>
    <row r="694" spans="1:25" x14ac:dyDescent="0.3">
      <c r="A694">
        <v>693</v>
      </c>
      <c r="B694">
        <v>694</v>
      </c>
      <c r="C694">
        <v>31359106000100</v>
      </c>
      <c r="D694">
        <v>19</v>
      </c>
      <c r="E694" t="s">
        <v>1590</v>
      </c>
      <c r="F694">
        <v>19</v>
      </c>
      <c r="G694" t="s">
        <v>1627</v>
      </c>
      <c r="H694" t="str">
        <f t="shared" si="10"/>
        <v>REDE 19 - BANDEIRA 19 - LOJA 694</v>
      </c>
      <c r="I694">
        <v>1</v>
      </c>
      <c r="J694" t="s">
        <v>26</v>
      </c>
      <c r="K694">
        <v>2</v>
      </c>
      <c r="L694" t="s">
        <v>1495</v>
      </c>
      <c r="M694">
        <v>25</v>
      </c>
      <c r="N694" t="s">
        <v>1406</v>
      </c>
      <c r="O694">
        <v>2</v>
      </c>
      <c r="P694" t="s">
        <v>37</v>
      </c>
      <c r="Q694" t="s">
        <v>38</v>
      </c>
      <c r="R694">
        <v>2</v>
      </c>
      <c r="S694" t="s">
        <v>39</v>
      </c>
      <c r="T694">
        <v>13025155</v>
      </c>
      <c r="U694" s="1">
        <v>-229010388</v>
      </c>
      <c r="V694" s="1">
        <v>-470502628</v>
      </c>
      <c r="W694" t="s">
        <v>1416</v>
      </c>
      <c r="X694">
        <v>1</v>
      </c>
      <c r="Y694" t="s">
        <v>34</v>
      </c>
    </row>
    <row r="695" spans="1:25" x14ac:dyDescent="0.3">
      <c r="A695">
        <v>694</v>
      </c>
      <c r="B695">
        <v>695</v>
      </c>
      <c r="C695">
        <v>31977091000143</v>
      </c>
      <c r="D695">
        <v>19</v>
      </c>
      <c r="E695" t="s">
        <v>1590</v>
      </c>
      <c r="F695">
        <v>19</v>
      </c>
      <c r="G695" t="s">
        <v>1627</v>
      </c>
      <c r="H695" t="str">
        <f t="shared" si="10"/>
        <v>REDE 19 - BANDEIRA 19 - LOJA 695</v>
      </c>
      <c r="I695">
        <v>1</v>
      </c>
      <c r="J695" t="s">
        <v>26</v>
      </c>
      <c r="K695">
        <v>2</v>
      </c>
      <c r="L695" t="s">
        <v>1494</v>
      </c>
      <c r="M695">
        <v>24</v>
      </c>
      <c r="N695" t="s">
        <v>1403</v>
      </c>
      <c r="O695">
        <v>2</v>
      </c>
      <c r="P695" t="s">
        <v>37</v>
      </c>
      <c r="Q695" t="s">
        <v>38</v>
      </c>
      <c r="R695">
        <v>2</v>
      </c>
      <c r="S695" t="s">
        <v>39</v>
      </c>
      <c r="T695">
        <v>18113140</v>
      </c>
      <c r="U695" s="1">
        <v>-235378574</v>
      </c>
      <c r="V695" s="1">
        <v>-474201103</v>
      </c>
      <c r="W695" t="s">
        <v>163</v>
      </c>
      <c r="X695">
        <v>1</v>
      </c>
      <c r="Y695" t="s">
        <v>34</v>
      </c>
    </row>
    <row r="696" spans="1:25" x14ac:dyDescent="0.3">
      <c r="A696">
        <v>695</v>
      </c>
      <c r="B696">
        <v>696</v>
      </c>
      <c r="C696">
        <v>33111704000190</v>
      </c>
      <c r="D696">
        <v>19</v>
      </c>
      <c r="E696" t="s">
        <v>1590</v>
      </c>
      <c r="F696">
        <v>19</v>
      </c>
      <c r="G696" t="s">
        <v>1627</v>
      </c>
      <c r="H696" t="str">
        <f t="shared" si="10"/>
        <v>REDE 19 - BANDEIRA 19 - LOJA 696</v>
      </c>
      <c r="I696">
        <v>1</v>
      </c>
      <c r="J696" t="s">
        <v>26</v>
      </c>
      <c r="K696">
        <v>2</v>
      </c>
      <c r="L696" t="s">
        <v>1496</v>
      </c>
      <c r="M696">
        <v>23</v>
      </c>
      <c r="N696" t="s">
        <v>1401</v>
      </c>
      <c r="O696">
        <v>2</v>
      </c>
      <c r="P696" t="s">
        <v>37</v>
      </c>
      <c r="Q696" t="s">
        <v>38</v>
      </c>
      <c r="R696">
        <v>2</v>
      </c>
      <c r="S696" t="s">
        <v>39</v>
      </c>
      <c r="T696">
        <v>12947000</v>
      </c>
      <c r="U696" s="1">
        <v>-231410786</v>
      </c>
      <c r="V696" s="1">
        <v>-465540701</v>
      </c>
      <c r="W696" t="s">
        <v>163</v>
      </c>
      <c r="X696">
        <v>1</v>
      </c>
      <c r="Y696" t="s">
        <v>34</v>
      </c>
    </row>
    <row r="697" spans="1:25" x14ac:dyDescent="0.3">
      <c r="A697">
        <v>696</v>
      </c>
      <c r="B697">
        <v>697</v>
      </c>
      <c r="C697">
        <v>33111704000271</v>
      </c>
      <c r="D697">
        <v>19</v>
      </c>
      <c r="E697" t="s">
        <v>1590</v>
      </c>
      <c r="F697">
        <v>19</v>
      </c>
      <c r="G697" t="s">
        <v>1627</v>
      </c>
      <c r="H697" t="str">
        <f t="shared" si="10"/>
        <v>REDE 19 - BANDEIRA 19 - LOJA 697</v>
      </c>
      <c r="I697">
        <v>1</v>
      </c>
      <c r="J697" t="s">
        <v>26</v>
      </c>
      <c r="K697">
        <v>2</v>
      </c>
      <c r="L697" t="s">
        <v>1497</v>
      </c>
      <c r="M697">
        <v>23</v>
      </c>
      <c r="N697" t="s">
        <v>1401</v>
      </c>
      <c r="O697">
        <v>2</v>
      </c>
      <c r="P697" t="s">
        <v>37</v>
      </c>
      <c r="Q697" t="s">
        <v>38</v>
      </c>
      <c r="R697">
        <v>2</v>
      </c>
      <c r="S697" t="s">
        <v>39</v>
      </c>
      <c r="T697">
        <v>12948009</v>
      </c>
      <c r="U697" s="1">
        <v>-231658645</v>
      </c>
      <c r="V697" s="1">
        <v>-465752272</v>
      </c>
      <c r="W697" t="s">
        <v>1498</v>
      </c>
      <c r="X697">
        <v>1</v>
      </c>
      <c r="Y697" t="s">
        <v>34</v>
      </c>
    </row>
    <row r="698" spans="1:25" x14ac:dyDescent="0.3">
      <c r="A698">
        <v>697</v>
      </c>
      <c r="B698">
        <v>698</v>
      </c>
      <c r="C698">
        <v>33462068000141</v>
      </c>
      <c r="D698">
        <v>19</v>
      </c>
      <c r="E698" t="s">
        <v>1590</v>
      </c>
      <c r="F698">
        <v>19</v>
      </c>
      <c r="G698" t="s">
        <v>1627</v>
      </c>
      <c r="H698" t="str">
        <f t="shared" si="10"/>
        <v>REDE 19 - BANDEIRA 19 - LOJA 698</v>
      </c>
      <c r="I698">
        <v>1</v>
      </c>
      <c r="J698" t="s">
        <v>26</v>
      </c>
      <c r="K698">
        <v>2</v>
      </c>
      <c r="L698" t="s">
        <v>1499</v>
      </c>
      <c r="M698">
        <v>23</v>
      </c>
      <c r="N698" t="s">
        <v>1401</v>
      </c>
      <c r="O698">
        <v>2</v>
      </c>
      <c r="P698" t="s">
        <v>37</v>
      </c>
      <c r="Q698" t="s">
        <v>38</v>
      </c>
      <c r="R698">
        <v>2</v>
      </c>
      <c r="S698" t="s">
        <v>39</v>
      </c>
      <c r="T698">
        <v>12952464</v>
      </c>
      <c r="U698" s="1">
        <v>-230763341</v>
      </c>
      <c r="V698" s="1">
        <v>-466607085</v>
      </c>
      <c r="W698" t="s">
        <v>1500</v>
      </c>
      <c r="X698">
        <v>1</v>
      </c>
      <c r="Y698" t="s">
        <v>34</v>
      </c>
    </row>
    <row r="699" spans="1:25" x14ac:dyDescent="0.3">
      <c r="A699">
        <v>698</v>
      </c>
      <c r="B699">
        <v>699</v>
      </c>
      <c r="C699">
        <v>33727246000119</v>
      </c>
      <c r="D699">
        <v>19</v>
      </c>
      <c r="E699" t="s">
        <v>1590</v>
      </c>
      <c r="F699">
        <v>19</v>
      </c>
      <c r="G699" t="s">
        <v>1627</v>
      </c>
      <c r="H699" t="str">
        <f t="shared" si="10"/>
        <v>REDE 19 - BANDEIRA 19 - LOJA 699</v>
      </c>
      <c r="I699">
        <v>1</v>
      </c>
      <c r="J699" t="s">
        <v>26</v>
      </c>
      <c r="K699">
        <v>2</v>
      </c>
      <c r="L699" t="s">
        <v>1501</v>
      </c>
      <c r="M699">
        <v>29</v>
      </c>
      <c r="N699" t="s">
        <v>1425</v>
      </c>
      <c r="O699">
        <v>2</v>
      </c>
      <c r="P699" t="s">
        <v>37</v>
      </c>
      <c r="Q699" t="s">
        <v>38</v>
      </c>
      <c r="R699">
        <v>2</v>
      </c>
      <c r="S699" t="s">
        <v>39</v>
      </c>
      <c r="T699">
        <v>18035105</v>
      </c>
      <c r="U699" s="1">
        <v>-235052402</v>
      </c>
      <c r="V699" s="1">
        <v>-474541595</v>
      </c>
      <c r="W699" t="s">
        <v>1502</v>
      </c>
      <c r="X699">
        <v>1</v>
      </c>
      <c r="Y699" t="s">
        <v>34</v>
      </c>
    </row>
    <row r="700" spans="1:25" x14ac:dyDescent="0.3">
      <c r="A700">
        <v>699</v>
      </c>
      <c r="B700">
        <v>700</v>
      </c>
      <c r="C700">
        <v>34471002000180</v>
      </c>
      <c r="D700">
        <v>19</v>
      </c>
      <c r="E700" t="s">
        <v>1590</v>
      </c>
      <c r="F700">
        <v>19</v>
      </c>
      <c r="G700" t="s">
        <v>1627</v>
      </c>
      <c r="H700" t="str">
        <f t="shared" si="10"/>
        <v>REDE 19 - BANDEIRA 19 - LOJA 700</v>
      </c>
      <c r="I700">
        <v>1</v>
      </c>
      <c r="J700" t="s">
        <v>26</v>
      </c>
      <c r="K700">
        <v>1</v>
      </c>
      <c r="L700" t="s">
        <v>1503</v>
      </c>
      <c r="M700">
        <v>25</v>
      </c>
      <c r="N700" t="s">
        <v>1406</v>
      </c>
      <c r="O700">
        <v>2</v>
      </c>
      <c r="P700" t="s">
        <v>37</v>
      </c>
      <c r="Q700" t="s">
        <v>38</v>
      </c>
      <c r="R700">
        <v>2</v>
      </c>
      <c r="S700" t="s">
        <v>39</v>
      </c>
      <c r="T700">
        <v>13040093</v>
      </c>
      <c r="U700" s="1">
        <v>-2294484</v>
      </c>
      <c r="V700" s="1">
        <v>-470513365</v>
      </c>
      <c r="W700" t="s">
        <v>1504</v>
      </c>
      <c r="X700">
        <v>1</v>
      </c>
      <c r="Y700" t="s">
        <v>34</v>
      </c>
    </row>
    <row r="701" spans="1:25" x14ac:dyDescent="0.3">
      <c r="A701">
        <v>700</v>
      </c>
      <c r="B701">
        <v>701</v>
      </c>
      <c r="C701">
        <v>34495144000188</v>
      </c>
      <c r="D701">
        <v>19</v>
      </c>
      <c r="E701" t="s">
        <v>1590</v>
      </c>
      <c r="F701">
        <v>19</v>
      </c>
      <c r="G701" t="s">
        <v>1627</v>
      </c>
      <c r="H701" t="str">
        <f t="shared" si="10"/>
        <v>REDE 19 - BANDEIRA 19 - LOJA 701</v>
      </c>
      <c r="I701">
        <v>1</v>
      </c>
      <c r="J701" t="s">
        <v>26</v>
      </c>
      <c r="K701">
        <v>2</v>
      </c>
      <c r="L701" t="s">
        <v>1505</v>
      </c>
      <c r="M701">
        <v>38</v>
      </c>
      <c r="N701" t="s">
        <v>1484</v>
      </c>
      <c r="O701">
        <v>2</v>
      </c>
      <c r="P701" t="s">
        <v>37</v>
      </c>
      <c r="Q701" t="s">
        <v>38</v>
      </c>
      <c r="R701">
        <v>2</v>
      </c>
      <c r="S701" t="s">
        <v>39</v>
      </c>
      <c r="T701">
        <v>13295566</v>
      </c>
      <c r="U701" s="1">
        <v>-23158086</v>
      </c>
      <c r="V701" s="1">
        <v>-470391374</v>
      </c>
      <c r="W701" t="s">
        <v>1506</v>
      </c>
      <c r="X701">
        <v>1</v>
      </c>
      <c r="Y701" t="s">
        <v>34</v>
      </c>
    </row>
    <row r="702" spans="1:25" x14ac:dyDescent="0.3">
      <c r="A702">
        <v>701</v>
      </c>
      <c r="B702">
        <v>702</v>
      </c>
      <c r="C702">
        <v>34667615000198</v>
      </c>
      <c r="D702">
        <v>19</v>
      </c>
      <c r="E702" t="s">
        <v>1590</v>
      </c>
      <c r="F702">
        <v>19</v>
      </c>
      <c r="G702" t="s">
        <v>1627</v>
      </c>
      <c r="H702" t="str">
        <f t="shared" si="10"/>
        <v>REDE 19 - BANDEIRA 19 - LOJA 702</v>
      </c>
      <c r="I702">
        <v>1</v>
      </c>
      <c r="J702" t="s">
        <v>26</v>
      </c>
      <c r="K702">
        <v>2</v>
      </c>
      <c r="L702" t="s">
        <v>1429</v>
      </c>
      <c r="M702">
        <v>25</v>
      </c>
      <c r="N702" t="s">
        <v>1406</v>
      </c>
      <c r="O702">
        <v>2</v>
      </c>
      <c r="P702" t="s">
        <v>37</v>
      </c>
      <c r="Q702" t="s">
        <v>38</v>
      </c>
      <c r="R702">
        <v>2</v>
      </c>
      <c r="S702" t="s">
        <v>39</v>
      </c>
      <c r="T702">
        <v>13025152</v>
      </c>
      <c r="U702" s="1">
        <v>-228918508</v>
      </c>
      <c r="V702" s="1">
        <v>-47053294</v>
      </c>
      <c r="W702" t="s">
        <v>1416</v>
      </c>
      <c r="X702">
        <v>1</v>
      </c>
      <c r="Y702" t="s">
        <v>34</v>
      </c>
    </row>
    <row r="703" spans="1:25" x14ac:dyDescent="0.3">
      <c r="A703">
        <v>702</v>
      </c>
      <c r="B703">
        <v>703</v>
      </c>
      <c r="C703">
        <v>35189472000119</v>
      </c>
      <c r="D703">
        <v>19</v>
      </c>
      <c r="E703" t="s">
        <v>1590</v>
      </c>
      <c r="F703">
        <v>19</v>
      </c>
      <c r="G703" t="s">
        <v>1627</v>
      </c>
      <c r="H703" t="str">
        <f t="shared" si="10"/>
        <v>REDE 19 - BANDEIRA 19 - LOJA 703</v>
      </c>
      <c r="I703">
        <v>1</v>
      </c>
      <c r="J703" t="s">
        <v>26</v>
      </c>
      <c r="K703">
        <v>2</v>
      </c>
      <c r="L703" t="s">
        <v>1507</v>
      </c>
      <c r="M703">
        <v>39</v>
      </c>
      <c r="N703" t="s">
        <v>1508</v>
      </c>
      <c r="O703">
        <v>2</v>
      </c>
      <c r="P703" t="s">
        <v>37</v>
      </c>
      <c r="Q703" t="s">
        <v>38</v>
      </c>
      <c r="R703">
        <v>2</v>
      </c>
      <c r="S703" t="s">
        <v>39</v>
      </c>
      <c r="T703">
        <v>7901005</v>
      </c>
      <c r="U703" s="1">
        <v>-232791981</v>
      </c>
      <c r="V703" s="1">
        <v>-467446663</v>
      </c>
      <c r="W703" t="s">
        <v>221</v>
      </c>
      <c r="X703">
        <v>1</v>
      </c>
      <c r="Y703" t="s">
        <v>34</v>
      </c>
    </row>
    <row r="704" spans="1:25" x14ac:dyDescent="0.3">
      <c r="A704">
        <v>703</v>
      </c>
      <c r="B704">
        <v>704</v>
      </c>
      <c r="C704">
        <v>36948300000144</v>
      </c>
      <c r="D704">
        <v>19</v>
      </c>
      <c r="E704" t="s">
        <v>1590</v>
      </c>
      <c r="F704">
        <v>19</v>
      </c>
      <c r="G704" t="s">
        <v>1627</v>
      </c>
      <c r="H704" t="str">
        <f t="shared" si="10"/>
        <v>REDE 19 - BANDEIRA 19 - LOJA 704</v>
      </c>
      <c r="I704">
        <v>1</v>
      </c>
      <c r="J704" t="s">
        <v>26</v>
      </c>
      <c r="K704">
        <v>2</v>
      </c>
      <c r="L704" t="s">
        <v>1509</v>
      </c>
      <c r="M704">
        <v>25</v>
      </c>
      <c r="N704" t="s">
        <v>1406</v>
      </c>
      <c r="O704">
        <v>2</v>
      </c>
      <c r="P704" t="s">
        <v>37</v>
      </c>
      <c r="Q704" t="s">
        <v>38</v>
      </c>
      <c r="R704">
        <v>2</v>
      </c>
      <c r="S704" t="s">
        <v>39</v>
      </c>
      <c r="T704">
        <v>13073370</v>
      </c>
      <c r="U704" s="1">
        <v>-228899631</v>
      </c>
      <c r="V704" s="1">
        <v>-4706695070000000</v>
      </c>
      <c r="W704" t="s">
        <v>567</v>
      </c>
      <c r="X704">
        <v>1</v>
      </c>
      <c r="Y704" t="s">
        <v>34</v>
      </c>
    </row>
    <row r="705" spans="1:25" x14ac:dyDescent="0.3">
      <c r="A705">
        <v>704</v>
      </c>
      <c r="B705">
        <v>705</v>
      </c>
      <c r="C705">
        <v>37029010000160</v>
      </c>
      <c r="D705">
        <v>19</v>
      </c>
      <c r="E705" t="s">
        <v>1590</v>
      </c>
      <c r="F705">
        <v>19</v>
      </c>
      <c r="G705" t="s">
        <v>1627</v>
      </c>
      <c r="H705" t="str">
        <f t="shared" si="10"/>
        <v>REDE 19 - BANDEIRA 19 - LOJA 705</v>
      </c>
      <c r="I705">
        <v>1</v>
      </c>
      <c r="J705" t="s">
        <v>26</v>
      </c>
      <c r="K705">
        <v>2</v>
      </c>
      <c r="L705" t="s">
        <v>1510</v>
      </c>
      <c r="M705">
        <v>29</v>
      </c>
      <c r="N705" t="s">
        <v>1425</v>
      </c>
      <c r="O705">
        <v>2</v>
      </c>
      <c r="P705" t="s">
        <v>37</v>
      </c>
      <c r="Q705" t="s">
        <v>38</v>
      </c>
      <c r="R705">
        <v>2</v>
      </c>
      <c r="S705" t="s">
        <v>39</v>
      </c>
      <c r="T705">
        <v>18040000</v>
      </c>
      <c r="U705" s="1">
        <v>-235011718</v>
      </c>
      <c r="V705" s="1">
        <v>-47478157</v>
      </c>
      <c r="W705" t="s">
        <v>1511</v>
      </c>
      <c r="X705">
        <v>1</v>
      </c>
      <c r="Y705" t="s">
        <v>34</v>
      </c>
    </row>
    <row r="706" spans="1:25" x14ac:dyDescent="0.3">
      <c r="A706">
        <v>705</v>
      </c>
      <c r="B706">
        <v>706</v>
      </c>
      <c r="C706">
        <v>37486665000167</v>
      </c>
      <c r="D706">
        <v>19</v>
      </c>
      <c r="E706" t="s">
        <v>1590</v>
      </c>
      <c r="F706">
        <v>19</v>
      </c>
      <c r="G706" t="s">
        <v>1627</v>
      </c>
      <c r="H706" t="str">
        <f t="shared" si="10"/>
        <v>REDE 19 - BANDEIRA 19 - LOJA 706</v>
      </c>
      <c r="I706">
        <v>1</v>
      </c>
      <c r="J706" t="s">
        <v>26</v>
      </c>
      <c r="K706">
        <v>2</v>
      </c>
      <c r="L706" t="s">
        <v>1512</v>
      </c>
      <c r="M706">
        <v>25</v>
      </c>
      <c r="N706" t="s">
        <v>1406</v>
      </c>
      <c r="O706">
        <v>2</v>
      </c>
      <c r="P706" t="s">
        <v>37</v>
      </c>
      <c r="Q706" t="s">
        <v>38</v>
      </c>
      <c r="R706">
        <v>2</v>
      </c>
      <c r="S706" t="s">
        <v>39</v>
      </c>
      <c r="T706">
        <v>13024110</v>
      </c>
      <c r="U706" s="1">
        <v>-228928353</v>
      </c>
      <c r="V706" s="1">
        <v>-470565819</v>
      </c>
      <c r="W706" t="s">
        <v>1416</v>
      </c>
      <c r="X706">
        <v>1</v>
      </c>
      <c r="Y706" t="s">
        <v>34</v>
      </c>
    </row>
    <row r="707" spans="1:25" x14ac:dyDescent="0.3">
      <c r="A707">
        <v>706</v>
      </c>
      <c r="B707">
        <v>707</v>
      </c>
      <c r="C707">
        <v>37845762000107</v>
      </c>
      <c r="D707">
        <v>19</v>
      </c>
      <c r="E707" t="s">
        <v>1590</v>
      </c>
      <c r="F707">
        <v>19</v>
      </c>
      <c r="G707" t="s">
        <v>1627</v>
      </c>
      <c r="H707" t="str">
        <f t="shared" ref="H707:H748" si="11">G707 &amp; " - "&amp; E707 &amp;" - LOJA " &amp;B707</f>
        <v>REDE 19 - BANDEIRA 19 - LOJA 707</v>
      </c>
      <c r="I707">
        <v>1</v>
      </c>
      <c r="J707" t="s">
        <v>26</v>
      </c>
      <c r="K707">
        <v>2</v>
      </c>
      <c r="L707" t="s">
        <v>1513</v>
      </c>
      <c r="M707">
        <v>26</v>
      </c>
      <c r="N707" t="s">
        <v>1409</v>
      </c>
      <c r="O707">
        <v>2</v>
      </c>
      <c r="P707" t="s">
        <v>37</v>
      </c>
      <c r="Q707" t="s">
        <v>38</v>
      </c>
      <c r="R707">
        <v>2</v>
      </c>
      <c r="S707" t="s">
        <v>39</v>
      </c>
      <c r="T707">
        <v>13212241</v>
      </c>
      <c r="U707" s="1">
        <v>-231809119</v>
      </c>
      <c r="V707" s="1">
        <v>-469858433</v>
      </c>
      <c r="W707" t="s">
        <v>1514</v>
      </c>
      <c r="X707">
        <v>1</v>
      </c>
      <c r="Y707" t="s">
        <v>34</v>
      </c>
    </row>
    <row r="708" spans="1:25" x14ac:dyDescent="0.3">
      <c r="A708">
        <v>707</v>
      </c>
      <c r="B708">
        <v>708</v>
      </c>
      <c r="C708">
        <v>38151656000269</v>
      </c>
      <c r="D708">
        <v>19</v>
      </c>
      <c r="E708" t="s">
        <v>1590</v>
      </c>
      <c r="F708">
        <v>19</v>
      </c>
      <c r="G708" t="s">
        <v>1627</v>
      </c>
      <c r="H708" t="str">
        <f t="shared" si="11"/>
        <v>REDE 19 - BANDEIRA 19 - LOJA 708</v>
      </c>
      <c r="I708">
        <v>1</v>
      </c>
      <c r="J708" t="s">
        <v>26</v>
      </c>
      <c r="K708">
        <v>2</v>
      </c>
      <c r="L708" t="s">
        <v>1430</v>
      </c>
      <c r="M708">
        <v>26</v>
      </c>
      <c r="N708" t="s">
        <v>1409</v>
      </c>
      <c r="O708">
        <v>2</v>
      </c>
      <c r="P708" t="s">
        <v>37</v>
      </c>
      <c r="Q708" t="s">
        <v>38</v>
      </c>
      <c r="R708">
        <v>2</v>
      </c>
      <c r="S708" t="s">
        <v>39</v>
      </c>
      <c r="T708">
        <v>13208056</v>
      </c>
      <c r="U708" s="1">
        <v>-231996761</v>
      </c>
      <c r="V708" s="1">
        <v>-46889651</v>
      </c>
      <c r="W708" t="s">
        <v>1515</v>
      </c>
      <c r="X708">
        <v>1</v>
      </c>
      <c r="Y708" t="s">
        <v>34</v>
      </c>
    </row>
    <row r="709" spans="1:25" x14ac:dyDescent="0.3">
      <c r="A709">
        <v>708</v>
      </c>
      <c r="B709">
        <v>709</v>
      </c>
      <c r="C709">
        <v>38211823000139</v>
      </c>
      <c r="D709">
        <v>19</v>
      </c>
      <c r="E709" t="s">
        <v>1590</v>
      </c>
      <c r="F709">
        <v>19</v>
      </c>
      <c r="G709" t="s">
        <v>1627</v>
      </c>
      <c r="H709" t="str">
        <f t="shared" si="11"/>
        <v>REDE 19 - BANDEIRA 19 - LOJA 709</v>
      </c>
      <c r="I709">
        <v>1</v>
      </c>
      <c r="J709" t="s">
        <v>26</v>
      </c>
      <c r="K709">
        <v>1</v>
      </c>
      <c r="L709" t="s">
        <v>1516</v>
      </c>
      <c r="M709">
        <v>26</v>
      </c>
      <c r="N709" t="s">
        <v>1409</v>
      </c>
      <c r="O709">
        <v>2</v>
      </c>
      <c r="P709" t="s">
        <v>37</v>
      </c>
      <c r="Q709" t="s">
        <v>38</v>
      </c>
      <c r="R709">
        <v>2</v>
      </c>
      <c r="S709" t="s">
        <v>39</v>
      </c>
      <c r="T709">
        <v>13212070</v>
      </c>
      <c r="U709" s="1">
        <v>-231920377</v>
      </c>
      <c r="V709" s="1">
        <v>-4696104769999990</v>
      </c>
      <c r="W709" t="s">
        <v>1517</v>
      </c>
      <c r="X709">
        <v>1</v>
      </c>
      <c r="Y709" t="s">
        <v>34</v>
      </c>
    </row>
    <row r="710" spans="1:25" x14ac:dyDescent="0.3">
      <c r="A710">
        <v>709</v>
      </c>
      <c r="B710">
        <v>710</v>
      </c>
      <c r="C710">
        <v>38243805000139</v>
      </c>
      <c r="D710">
        <v>19</v>
      </c>
      <c r="E710" t="s">
        <v>1590</v>
      </c>
      <c r="F710">
        <v>19</v>
      </c>
      <c r="G710" t="s">
        <v>1627</v>
      </c>
      <c r="H710" t="str">
        <f t="shared" si="11"/>
        <v>REDE 19 - BANDEIRA 19 - LOJA 710</v>
      </c>
      <c r="I710">
        <v>1</v>
      </c>
      <c r="J710" t="s">
        <v>26</v>
      </c>
      <c r="K710">
        <v>1</v>
      </c>
      <c r="L710" t="s">
        <v>1417</v>
      </c>
      <c r="M710">
        <v>25</v>
      </c>
      <c r="N710" t="s">
        <v>1406</v>
      </c>
      <c r="O710">
        <v>2</v>
      </c>
      <c r="P710" t="s">
        <v>37</v>
      </c>
      <c r="Q710" t="s">
        <v>38</v>
      </c>
      <c r="R710">
        <v>2</v>
      </c>
      <c r="S710" t="s">
        <v>39</v>
      </c>
      <c r="T710">
        <v>13024411</v>
      </c>
      <c r="U710" s="1">
        <v>-228890684</v>
      </c>
      <c r="V710" s="1">
        <v>-4704946469999990</v>
      </c>
      <c r="W710" t="s">
        <v>1416</v>
      </c>
      <c r="X710">
        <v>1</v>
      </c>
      <c r="Y710" t="s">
        <v>34</v>
      </c>
    </row>
    <row r="711" spans="1:25" x14ac:dyDescent="0.3">
      <c r="A711">
        <v>710</v>
      </c>
      <c r="B711">
        <v>711</v>
      </c>
      <c r="C711">
        <v>38331553000108</v>
      </c>
      <c r="D711">
        <v>19</v>
      </c>
      <c r="E711" t="s">
        <v>1590</v>
      </c>
      <c r="F711">
        <v>19</v>
      </c>
      <c r="G711" t="s">
        <v>1627</v>
      </c>
      <c r="H711" t="str">
        <f t="shared" si="11"/>
        <v>REDE 19 - BANDEIRA 19 - LOJA 711</v>
      </c>
      <c r="I711">
        <v>1</v>
      </c>
      <c r="J711" t="s">
        <v>26</v>
      </c>
      <c r="K711">
        <v>2</v>
      </c>
      <c r="L711" t="s">
        <v>1518</v>
      </c>
      <c r="M711">
        <v>25</v>
      </c>
      <c r="N711" t="s">
        <v>1406</v>
      </c>
      <c r="O711">
        <v>2</v>
      </c>
      <c r="P711" t="s">
        <v>37</v>
      </c>
      <c r="Q711" t="s">
        <v>38</v>
      </c>
      <c r="R711">
        <v>2</v>
      </c>
      <c r="S711" t="s">
        <v>39</v>
      </c>
      <c r="T711">
        <v>13087490</v>
      </c>
      <c r="U711" s="1">
        <v>-228561834</v>
      </c>
      <c r="V711" s="1">
        <v>-470462152</v>
      </c>
      <c r="W711" t="s">
        <v>1519</v>
      </c>
      <c r="X711">
        <v>1</v>
      </c>
      <c r="Y711" t="s">
        <v>34</v>
      </c>
    </row>
    <row r="712" spans="1:25" x14ac:dyDescent="0.3">
      <c r="A712">
        <v>711</v>
      </c>
      <c r="B712">
        <v>712</v>
      </c>
      <c r="C712">
        <v>40359059000195</v>
      </c>
      <c r="D712">
        <v>19</v>
      </c>
      <c r="E712" t="s">
        <v>1590</v>
      </c>
      <c r="F712">
        <v>19</v>
      </c>
      <c r="G712" t="s">
        <v>1627</v>
      </c>
      <c r="H712" t="str">
        <f t="shared" si="11"/>
        <v>REDE 19 - BANDEIRA 19 - LOJA 712</v>
      </c>
      <c r="I712">
        <v>1</v>
      </c>
      <c r="J712" t="s">
        <v>26</v>
      </c>
      <c r="K712">
        <v>2</v>
      </c>
      <c r="L712" t="s">
        <v>1520</v>
      </c>
      <c r="M712">
        <v>25</v>
      </c>
      <c r="N712" t="s">
        <v>1406</v>
      </c>
      <c r="O712">
        <v>2</v>
      </c>
      <c r="P712" t="s">
        <v>37</v>
      </c>
      <c r="Q712" t="s">
        <v>38</v>
      </c>
      <c r="R712">
        <v>2</v>
      </c>
      <c r="S712" t="s">
        <v>39</v>
      </c>
      <c r="T712">
        <v>13010040</v>
      </c>
      <c r="U712" s="1">
        <v>-229071585</v>
      </c>
      <c r="V712" s="1">
        <v>-470606332</v>
      </c>
      <c r="W712" t="s">
        <v>221</v>
      </c>
      <c r="X712">
        <v>1</v>
      </c>
      <c r="Y712" t="s">
        <v>34</v>
      </c>
    </row>
    <row r="713" spans="1:25" x14ac:dyDescent="0.3">
      <c r="A713">
        <v>712</v>
      </c>
      <c r="B713">
        <v>713</v>
      </c>
      <c r="C713">
        <v>41069157000150</v>
      </c>
      <c r="D713">
        <v>19</v>
      </c>
      <c r="E713" t="s">
        <v>1590</v>
      </c>
      <c r="F713">
        <v>19</v>
      </c>
      <c r="G713" t="s">
        <v>1627</v>
      </c>
      <c r="H713" t="str">
        <f t="shared" si="11"/>
        <v>REDE 19 - BANDEIRA 19 - LOJA 713</v>
      </c>
      <c r="I713">
        <v>1</v>
      </c>
      <c r="J713" t="s">
        <v>26</v>
      </c>
      <c r="K713">
        <v>2</v>
      </c>
      <c r="L713" t="s">
        <v>1521</v>
      </c>
      <c r="M713">
        <v>25</v>
      </c>
      <c r="N713" t="s">
        <v>1406</v>
      </c>
      <c r="O713">
        <v>2</v>
      </c>
      <c r="P713" t="s">
        <v>37</v>
      </c>
      <c r="Q713" t="s">
        <v>38</v>
      </c>
      <c r="R713">
        <v>2</v>
      </c>
      <c r="S713" t="s">
        <v>39</v>
      </c>
      <c r="T713">
        <v>13070145</v>
      </c>
      <c r="U713" s="1">
        <v>-228908682</v>
      </c>
      <c r="V713" s="1">
        <v>-4707752130000000</v>
      </c>
      <c r="W713" t="s">
        <v>1522</v>
      </c>
      <c r="X713">
        <v>1</v>
      </c>
      <c r="Y713" t="s">
        <v>34</v>
      </c>
    </row>
    <row r="714" spans="1:25" x14ac:dyDescent="0.3">
      <c r="A714">
        <v>713</v>
      </c>
      <c r="B714">
        <v>714</v>
      </c>
      <c r="C714">
        <v>41519966000117</v>
      </c>
      <c r="D714">
        <v>19</v>
      </c>
      <c r="E714" t="s">
        <v>1590</v>
      </c>
      <c r="F714">
        <v>19</v>
      </c>
      <c r="G714" t="s">
        <v>1627</v>
      </c>
      <c r="H714" t="str">
        <f t="shared" si="11"/>
        <v>REDE 19 - BANDEIRA 19 - LOJA 714</v>
      </c>
      <c r="I714">
        <v>1</v>
      </c>
      <c r="J714" t="s">
        <v>26</v>
      </c>
      <c r="K714">
        <v>2</v>
      </c>
      <c r="L714" t="s">
        <v>1494</v>
      </c>
      <c r="M714">
        <v>24</v>
      </c>
      <c r="N714" t="s">
        <v>1403</v>
      </c>
      <c r="O714">
        <v>2</v>
      </c>
      <c r="P714" t="s">
        <v>37</v>
      </c>
      <c r="Q714" t="s">
        <v>38</v>
      </c>
      <c r="R714">
        <v>2</v>
      </c>
      <c r="S714" t="s">
        <v>39</v>
      </c>
      <c r="T714">
        <v>18113140</v>
      </c>
      <c r="U714" s="1">
        <v>-235378574</v>
      </c>
      <c r="V714" s="1">
        <v>-474201103</v>
      </c>
      <c r="W714" t="s">
        <v>163</v>
      </c>
      <c r="X714">
        <v>1</v>
      </c>
      <c r="Y714" t="s">
        <v>34</v>
      </c>
    </row>
    <row r="715" spans="1:25" x14ac:dyDescent="0.3">
      <c r="A715">
        <v>714</v>
      </c>
      <c r="B715">
        <v>715</v>
      </c>
      <c r="C715">
        <v>41725651000126</v>
      </c>
      <c r="D715">
        <v>19</v>
      </c>
      <c r="E715" t="s">
        <v>1590</v>
      </c>
      <c r="F715">
        <v>19</v>
      </c>
      <c r="G715" t="s">
        <v>1627</v>
      </c>
      <c r="H715" t="str">
        <f t="shared" si="11"/>
        <v>REDE 19 - BANDEIRA 19 - LOJA 715</v>
      </c>
      <c r="I715">
        <v>1</v>
      </c>
      <c r="J715" t="s">
        <v>26</v>
      </c>
      <c r="K715">
        <v>2</v>
      </c>
      <c r="L715" t="s">
        <v>1523</v>
      </c>
      <c r="M715">
        <v>40</v>
      </c>
      <c r="N715" t="s">
        <v>1524</v>
      </c>
      <c r="O715">
        <v>2</v>
      </c>
      <c r="P715" t="s">
        <v>37</v>
      </c>
      <c r="Q715" t="s">
        <v>38</v>
      </c>
      <c r="R715">
        <v>2</v>
      </c>
      <c r="S715" t="s">
        <v>39</v>
      </c>
      <c r="T715">
        <v>13825000</v>
      </c>
      <c r="U715" s="1">
        <v>-226332233</v>
      </c>
      <c r="V715" s="1">
        <v>-470525238</v>
      </c>
      <c r="W715" t="s">
        <v>221</v>
      </c>
      <c r="X715">
        <v>1</v>
      </c>
      <c r="Y715" t="s">
        <v>34</v>
      </c>
    </row>
    <row r="716" spans="1:25" x14ac:dyDescent="0.3">
      <c r="A716">
        <v>715</v>
      </c>
      <c r="B716">
        <v>716</v>
      </c>
      <c r="C716">
        <v>42022223000108</v>
      </c>
      <c r="D716">
        <v>19</v>
      </c>
      <c r="E716" t="s">
        <v>1590</v>
      </c>
      <c r="F716">
        <v>19</v>
      </c>
      <c r="G716" t="s">
        <v>1627</v>
      </c>
      <c r="H716" t="str">
        <f t="shared" si="11"/>
        <v>REDE 19 - BANDEIRA 19 - LOJA 716</v>
      </c>
      <c r="I716">
        <v>1</v>
      </c>
      <c r="J716" t="s">
        <v>26</v>
      </c>
      <c r="K716">
        <v>2</v>
      </c>
      <c r="L716" t="s">
        <v>1520</v>
      </c>
      <c r="M716">
        <v>25</v>
      </c>
      <c r="N716" t="s">
        <v>1406</v>
      </c>
      <c r="O716">
        <v>2</v>
      </c>
      <c r="P716" t="s">
        <v>37</v>
      </c>
      <c r="Q716" t="s">
        <v>38</v>
      </c>
      <c r="R716">
        <v>2</v>
      </c>
      <c r="S716" t="s">
        <v>39</v>
      </c>
      <c r="T716">
        <v>13010041</v>
      </c>
      <c r="U716" s="1">
        <v>-229067967</v>
      </c>
      <c r="V716" s="1">
        <v>-470602409</v>
      </c>
      <c r="W716" t="s">
        <v>221</v>
      </c>
      <c r="X716">
        <v>1</v>
      </c>
      <c r="Y716" t="s">
        <v>34</v>
      </c>
    </row>
    <row r="717" spans="1:25" x14ac:dyDescent="0.3">
      <c r="A717">
        <v>716</v>
      </c>
      <c r="B717">
        <v>717</v>
      </c>
      <c r="C717">
        <v>42478806000130</v>
      </c>
      <c r="D717">
        <v>19</v>
      </c>
      <c r="E717" t="s">
        <v>1590</v>
      </c>
      <c r="F717">
        <v>19</v>
      </c>
      <c r="G717" t="s">
        <v>1627</v>
      </c>
      <c r="H717" t="str">
        <f t="shared" si="11"/>
        <v>REDE 19 - BANDEIRA 19 - LOJA 717</v>
      </c>
      <c r="I717">
        <v>1</v>
      </c>
      <c r="J717" t="s">
        <v>26</v>
      </c>
      <c r="K717">
        <v>2</v>
      </c>
      <c r="L717" t="s">
        <v>1525</v>
      </c>
      <c r="M717">
        <v>41</v>
      </c>
      <c r="N717" t="s">
        <v>1526</v>
      </c>
      <c r="O717">
        <v>2</v>
      </c>
      <c r="P717" t="s">
        <v>37</v>
      </c>
      <c r="Q717" t="s">
        <v>38</v>
      </c>
      <c r="R717">
        <v>2</v>
      </c>
      <c r="S717" t="s">
        <v>39</v>
      </c>
      <c r="T717">
        <v>13184668</v>
      </c>
      <c r="U717" s="1">
        <v>-228727491</v>
      </c>
      <c r="V717" s="1">
        <v>-4721300249999990</v>
      </c>
      <c r="W717" t="s">
        <v>1527</v>
      </c>
      <c r="X717">
        <v>1</v>
      </c>
      <c r="Y717" t="s">
        <v>34</v>
      </c>
    </row>
    <row r="718" spans="1:25" x14ac:dyDescent="0.3">
      <c r="A718">
        <v>717</v>
      </c>
      <c r="B718">
        <v>718</v>
      </c>
      <c r="C718">
        <v>44009044000158</v>
      </c>
      <c r="D718">
        <v>19</v>
      </c>
      <c r="E718" t="s">
        <v>1590</v>
      </c>
      <c r="F718">
        <v>19</v>
      </c>
      <c r="G718" t="s">
        <v>1627</v>
      </c>
      <c r="H718" t="str">
        <f t="shared" si="11"/>
        <v>REDE 19 - BANDEIRA 19 - LOJA 718</v>
      </c>
      <c r="I718">
        <v>1</v>
      </c>
      <c r="J718" t="s">
        <v>26</v>
      </c>
      <c r="K718">
        <v>1</v>
      </c>
      <c r="L718" t="s">
        <v>1496</v>
      </c>
      <c r="M718">
        <v>23</v>
      </c>
      <c r="N718" t="s">
        <v>1401</v>
      </c>
      <c r="O718">
        <v>2</v>
      </c>
      <c r="P718" t="s">
        <v>37</v>
      </c>
      <c r="Q718" t="s">
        <v>38</v>
      </c>
      <c r="R718">
        <v>2</v>
      </c>
      <c r="S718" t="s">
        <v>39</v>
      </c>
      <c r="T718">
        <v>12947000</v>
      </c>
      <c r="U718" s="1">
        <v>-231282982</v>
      </c>
      <c r="V718" s="1">
        <v>-465541642</v>
      </c>
      <c r="W718" t="s">
        <v>163</v>
      </c>
      <c r="X718">
        <v>1</v>
      </c>
      <c r="Y718" t="s">
        <v>34</v>
      </c>
    </row>
    <row r="719" spans="1:25" x14ac:dyDescent="0.3">
      <c r="A719">
        <v>718</v>
      </c>
      <c r="B719">
        <v>719</v>
      </c>
      <c r="C719">
        <v>44161739000150</v>
      </c>
      <c r="D719">
        <v>19</v>
      </c>
      <c r="E719" t="s">
        <v>1590</v>
      </c>
      <c r="F719">
        <v>19</v>
      </c>
      <c r="G719" t="s">
        <v>1627</v>
      </c>
      <c r="H719" t="str">
        <f t="shared" si="11"/>
        <v>REDE 19 - BANDEIRA 19 - LOJA 719</v>
      </c>
      <c r="I719">
        <v>1</v>
      </c>
      <c r="J719" t="s">
        <v>26</v>
      </c>
      <c r="K719">
        <v>2</v>
      </c>
      <c r="L719" t="s">
        <v>1528</v>
      </c>
      <c r="M719">
        <v>34</v>
      </c>
      <c r="N719" t="s">
        <v>1447</v>
      </c>
      <c r="O719">
        <v>2</v>
      </c>
      <c r="P719" t="s">
        <v>37</v>
      </c>
      <c r="Q719" t="s">
        <v>38</v>
      </c>
      <c r="R719">
        <v>2</v>
      </c>
      <c r="S719" t="s">
        <v>39</v>
      </c>
      <c r="T719">
        <v>13466250</v>
      </c>
      <c r="U719" s="1">
        <v>-22748862</v>
      </c>
      <c r="V719" s="1">
        <v>-473314449</v>
      </c>
      <c r="W719" t="s">
        <v>1529</v>
      </c>
      <c r="X719">
        <v>1</v>
      </c>
      <c r="Y719" t="s">
        <v>34</v>
      </c>
    </row>
    <row r="720" spans="1:25" x14ac:dyDescent="0.3">
      <c r="A720">
        <v>719</v>
      </c>
      <c r="B720">
        <v>720</v>
      </c>
      <c r="C720">
        <v>44476790000151</v>
      </c>
      <c r="D720">
        <v>19</v>
      </c>
      <c r="E720" t="s">
        <v>1590</v>
      </c>
      <c r="F720">
        <v>19</v>
      </c>
      <c r="G720" t="s">
        <v>1627</v>
      </c>
      <c r="H720" t="str">
        <f t="shared" si="11"/>
        <v>REDE 19 - BANDEIRA 19 - LOJA 720</v>
      </c>
      <c r="I720">
        <v>1</v>
      </c>
      <c r="J720" t="s">
        <v>26</v>
      </c>
      <c r="K720">
        <v>2</v>
      </c>
      <c r="L720" t="s">
        <v>1530</v>
      </c>
      <c r="M720">
        <v>34</v>
      </c>
      <c r="N720" t="s">
        <v>1447</v>
      </c>
      <c r="O720">
        <v>2</v>
      </c>
      <c r="P720" t="s">
        <v>37</v>
      </c>
      <c r="Q720" t="s">
        <v>38</v>
      </c>
      <c r="R720">
        <v>2</v>
      </c>
      <c r="S720" t="s">
        <v>39</v>
      </c>
      <c r="T720">
        <v>13468570</v>
      </c>
      <c r="U720" s="1">
        <v>-227614068</v>
      </c>
      <c r="V720" s="1">
        <v>-473568988</v>
      </c>
      <c r="W720" t="s">
        <v>1531</v>
      </c>
      <c r="X720">
        <v>1</v>
      </c>
      <c r="Y720" t="s">
        <v>34</v>
      </c>
    </row>
    <row r="721" spans="1:25" x14ac:dyDescent="0.3">
      <c r="A721">
        <v>720</v>
      </c>
      <c r="B721">
        <v>721</v>
      </c>
      <c r="C721">
        <v>44479585000140</v>
      </c>
      <c r="D721">
        <v>19</v>
      </c>
      <c r="E721" t="s">
        <v>1590</v>
      </c>
      <c r="F721">
        <v>19</v>
      </c>
      <c r="G721" t="s">
        <v>1627</v>
      </c>
      <c r="H721" t="str">
        <f t="shared" si="11"/>
        <v>REDE 19 - BANDEIRA 19 - LOJA 721</v>
      </c>
      <c r="I721">
        <v>1</v>
      </c>
      <c r="J721" t="s">
        <v>26</v>
      </c>
      <c r="K721">
        <v>2</v>
      </c>
      <c r="L721" t="s">
        <v>1420</v>
      </c>
      <c r="M721">
        <v>25</v>
      </c>
      <c r="N721" t="s">
        <v>1406</v>
      </c>
      <c r="O721">
        <v>2</v>
      </c>
      <c r="P721" t="s">
        <v>37</v>
      </c>
      <c r="Q721" t="s">
        <v>38</v>
      </c>
      <c r="R721">
        <v>2</v>
      </c>
      <c r="S721" t="s">
        <v>39</v>
      </c>
      <c r="T721">
        <v>13042105</v>
      </c>
      <c r="U721" s="1">
        <v>-229375494</v>
      </c>
      <c r="V721" s="1">
        <v>-470499961</v>
      </c>
      <c r="W721" t="s">
        <v>907</v>
      </c>
      <c r="X721">
        <v>1</v>
      </c>
      <c r="Y721" t="s">
        <v>34</v>
      </c>
    </row>
    <row r="722" spans="1:25" x14ac:dyDescent="0.3">
      <c r="A722">
        <v>721</v>
      </c>
      <c r="B722">
        <v>722</v>
      </c>
      <c r="C722">
        <v>44875358000133</v>
      </c>
      <c r="D722">
        <v>19</v>
      </c>
      <c r="E722" t="s">
        <v>1590</v>
      </c>
      <c r="F722">
        <v>19</v>
      </c>
      <c r="G722" t="s">
        <v>1627</v>
      </c>
      <c r="H722" t="str">
        <f t="shared" si="11"/>
        <v>REDE 19 - BANDEIRA 19 - LOJA 722</v>
      </c>
      <c r="I722">
        <v>1</v>
      </c>
      <c r="J722" t="s">
        <v>26</v>
      </c>
      <c r="K722">
        <v>2</v>
      </c>
      <c r="L722" t="s">
        <v>430</v>
      </c>
      <c r="M722">
        <v>34</v>
      </c>
      <c r="N722" t="s">
        <v>1447</v>
      </c>
      <c r="O722">
        <v>2</v>
      </c>
      <c r="P722" t="s">
        <v>37</v>
      </c>
      <c r="Q722" t="s">
        <v>38</v>
      </c>
      <c r="R722">
        <v>2</v>
      </c>
      <c r="S722" t="s">
        <v>39</v>
      </c>
      <c r="T722">
        <v>13478580</v>
      </c>
      <c r="U722" s="1">
        <v>-227380162</v>
      </c>
      <c r="V722" s="1">
        <v>-47321292</v>
      </c>
      <c r="W722" t="s">
        <v>1532</v>
      </c>
      <c r="X722">
        <v>1</v>
      </c>
      <c r="Y722" t="s">
        <v>34</v>
      </c>
    </row>
    <row r="723" spans="1:25" x14ac:dyDescent="0.3">
      <c r="A723">
        <v>722</v>
      </c>
      <c r="B723">
        <v>723</v>
      </c>
      <c r="C723">
        <v>45909446000171</v>
      </c>
      <c r="D723">
        <v>3</v>
      </c>
      <c r="E723" t="s">
        <v>1574</v>
      </c>
      <c r="F723">
        <v>3</v>
      </c>
      <c r="G723" t="s">
        <v>1611</v>
      </c>
      <c r="H723" t="str">
        <f t="shared" si="11"/>
        <v>REDE 3 - BANDEIRA 3 - LOJA 723</v>
      </c>
      <c r="I723">
        <v>1</v>
      </c>
      <c r="J723" t="s">
        <v>26</v>
      </c>
      <c r="K723">
        <v>1</v>
      </c>
      <c r="L723" t="s">
        <v>1533</v>
      </c>
      <c r="M723">
        <v>25</v>
      </c>
      <c r="N723" t="s">
        <v>1406</v>
      </c>
      <c r="O723">
        <v>2</v>
      </c>
      <c r="P723" t="s">
        <v>37</v>
      </c>
      <c r="Q723" t="s">
        <v>38</v>
      </c>
      <c r="R723">
        <v>2</v>
      </c>
      <c r="S723" t="s">
        <v>39</v>
      </c>
      <c r="T723">
        <v>13087901</v>
      </c>
      <c r="U723" s="1">
        <v>-228475042</v>
      </c>
      <c r="V723" s="1">
        <v>-470637067</v>
      </c>
      <c r="W723" t="s">
        <v>1459</v>
      </c>
      <c r="X723">
        <v>1</v>
      </c>
      <c r="Y723" t="s">
        <v>34</v>
      </c>
    </row>
    <row r="724" spans="1:25" x14ac:dyDescent="0.3">
      <c r="A724">
        <v>723</v>
      </c>
      <c r="B724">
        <v>724</v>
      </c>
      <c r="C724">
        <v>45909446000252</v>
      </c>
      <c r="D724">
        <v>3</v>
      </c>
      <c r="E724" t="s">
        <v>1574</v>
      </c>
      <c r="F724">
        <v>3</v>
      </c>
      <c r="G724" t="s">
        <v>1611</v>
      </c>
      <c r="H724" t="str">
        <f t="shared" si="11"/>
        <v>REDE 3 - BANDEIRA 3 - LOJA 724</v>
      </c>
      <c r="I724">
        <v>1</v>
      </c>
      <c r="J724" t="s">
        <v>26</v>
      </c>
      <c r="K724">
        <v>1</v>
      </c>
      <c r="L724" t="s">
        <v>1534</v>
      </c>
      <c r="M724">
        <v>25</v>
      </c>
      <c r="N724" t="s">
        <v>1406</v>
      </c>
      <c r="O724">
        <v>2</v>
      </c>
      <c r="P724" t="s">
        <v>37</v>
      </c>
      <c r="Q724" t="s">
        <v>38</v>
      </c>
      <c r="R724">
        <v>2</v>
      </c>
      <c r="S724" t="s">
        <v>39</v>
      </c>
      <c r="T724">
        <v>13025002</v>
      </c>
      <c r="U724" s="1">
        <v>-228928714</v>
      </c>
      <c r="V724" s="1">
        <v>-470541397</v>
      </c>
      <c r="W724" t="s">
        <v>1416</v>
      </c>
      <c r="X724">
        <v>1</v>
      </c>
      <c r="Y724" t="s">
        <v>34</v>
      </c>
    </row>
    <row r="725" spans="1:25" x14ac:dyDescent="0.3">
      <c r="A725">
        <v>724</v>
      </c>
      <c r="B725">
        <v>725</v>
      </c>
      <c r="C725">
        <v>46348323000171</v>
      </c>
      <c r="D725">
        <v>3</v>
      </c>
      <c r="E725" t="s">
        <v>1574</v>
      </c>
      <c r="F725">
        <v>3</v>
      </c>
      <c r="G725" t="s">
        <v>1611</v>
      </c>
      <c r="H725" t="str">
        <f t="shared" si="11"/>
        <v>REDE 3 - BANDEIRA 3 - LOJA 725</v>
      </c>
      <c r="I725">
        <v>1</v>
      </c>
      <c r="J725" t="s">
        <v>26</v>
      </c>
      <c r="K725">
        <v>1</v>
      </c>
      <c r="L725" t="s">
        <v>1465</v>
      </c>
      <c r="M725">
        <v>25</v>
      </c>
      <c r="N725" t="s">
        <v>1406</v>
      </c>
      <c r="O725">
        <v>2</v>
      </c>
      <c r="P725" t="s">
        <v>37</v>
      </c>
      <c r="Q725" t="s">
        <v>38</v>
      </c>
      <c r="R725">
        <v>2</v>
      </c>
      <c r="S725" t="s">
        <v>39</v>
      </c>
      <c r="T725">
        <v>13092902</v>
      </c>
      <c r="U725" s="1">
        <v>-228924607</v>
      </c>
      <c r="V725" s="1">
        <v>-47027516</v>
      </c>
      <c r="W725" t="s">
        <v>1466</v>
      </c>
      <c r="X725">
        <v>1</v>
      </c>
      <c r="Y725" t="s">
        <v>34</v>
      </c>
    </row>
    <row r="726" spans="1:25" x14ac:dyDescent="0.3">
      <c r="A726">
        <v>725</v>
      </c>
      <c r="B726">
        <v>726</v>
      </c>
      <c r="C726">
        <v>46353236000102</v>
      </c>
      <c r="D726">
        <v>3</v>
      </c>
      <c r="E726" t="s">
        <v>1574</v>
      </c>
      <c r="F726">
        <v>3</v>
      </c>
      <c r="G726" t="s">
        <v>1611</v>
      </c>
      <c r="H726" t="str">
        <f t="shared" si="11"/>
        <v>REDE 3 - BANDEIRA 3 - LOJA 726</v>
      </c>
      <c r="I726">
        <v>1</v>
      </c>
      <c r="J726" t="s">
        <v>26</v>
      </c>
      <c r="K726">
        <v>1</v>
      </c>
      <c r="L726" t="s">
        <v>1535</v>
      </c>
      <c r="M726">
        <v>25</v>
      </c>
      <c r="N726" t="s">
        <v>1406</v>
      </c>
      <c r="O726">
        <v>2</v>
      </c>
      <c r="P726" t="s">
        <v>37</v>
      </c>
      <c r="Q726" t="s">
        <v>38</v>
      </c>
      <c r="R726">
        <v>2</v>
      </c>
      <c r="S726" t="s">
        <v>39</v>
      </c>
      <c r="T726">
        <v>13050008</v>
      </c>
      <c r="U726" s="1">
        <v>-22930975</v>
      </c>
      <c r="V726" s="1">
        <v>-470790044</v>
      </c>
      <c r="W726" t="s">
        <v>1536</v>
      </c>
      <c r="X726">
        <v>1</v>
      </c>
      <c r="Y726" t="s">
        <v>34</v>
      </c>
    </row>
    <row r="727" spans="1:25" x14ac:dyDescent="0.3">
      <c r="A727">
        <v>726</v>
      </c>
      <c r="B727">
        <v>727</v>
      </c>
      <c r="C727">
        <v>46572562000100</v>
      </c>
      <c r="D727">
        <v>19</v>
      </c>
      <c r="E727" t="s">
        <v>1590</v>
      </c>
      <c r="F727">
        <v>19</v>
      </c>
      <c r="G727" t="s">
        <v>1627</v>
      </c>
      <c r="H727" t="str">
        <f t="shared" si="11"/>
        <v>REDE 19 - BANDEIRA 19 - LOJA 727</v>
      </c>
      <c r="I727">
        <v>1</v>
      </c>
      <c r="J727" t="s">
        <v>26</v>
      </c>
      <c r="K727">
        <v>2</v>
      </c>
      <c r="L727" t="s">
        <v>1537</v>
      </c>
      <c r="M727">
        <v>23</v>
      </c>
      <c r="N727" t="s">
        <v>1401</v>
      </c>
      <c r="O727">
        <v>2</v>
      </c>
      <c r="P727" t="s">
        <v>37</v>
      </c>
      <c r="Q727" t="s">
        <v>38</v>
      </c>
      <c r="R727">
        <v>2</v>
      </c>
      <c r="S727" t="s">
        <v>39</v>
      </c>
      <c r="T727">
        <v>12942655</v>
      </c>
      <c r="U727" s="1">
        <v>-231211131</v>
      </c>
      <c r="V727" s="1">
        <v>-465606715</v>
      </c>
      <c r="W727" t="s">
        <v>1538</v>
      </c>
      <c r="X727">
        <v>1</v>
      </c>
      <c r="Y727" t="s">
        <v>34</v>
      </c>
    </row>
    <row r="728" spans="1:25" x14ac:dyDescent="0.3">
      <c r="A728">
        <v>727</v>
      </c>
      <c r="B728">
        <v>728</v>
      </c>
      <c r="C728">
        <v>47158108000170</v>
      </c>
      <c r="D728">
        <v>3</v>
      </c>
      <c r="E728" t="s">
        <v>1574</v>
      </c>
      <c r="F728">
        <v>3</v>
      </c>
      <c r="G728" t="s">
        <v>1611</v>
      </c>
      <c r="H728" t="str">
        <f t="shared" si="11"/>
        <v>REDE 3 - BANDEIRA 3 - LOJA 728</v>
      </c>
      <c r="I728">
        <v>1</v>
      </c>
      <c r="J728" t="s">
        <v>26</v>
      </c>
      <c r="K728">
        <v>1</v>
      </c>
      <c r="L728" t="s">
        <v>1539</v>
      </c>
      <c r="M728">
        <v>24</v>
      </c>
      <c r="N728" t="s">
        <v>1403</v>
      </c>
      <c r="O728">
        <v>2</v>
      </c>
      <c r="P728" t="s">
        <v>37</v>
      </c>
      <c r="Q728" t="s">
        <v>38</v>
      </c>
      <c r="R728">
        <v>2</v>
      </c>
      <c r="S728" t="s">
        <v>39</v>
      </c>
      <c r="T728">
        <v>18110650</v>
      </c>
      <c r="U728" s="1">
        <v>-235457515</v>
      </c>
      <c r="V728" s="1">
        <v>-474673148</v>
      </c>
      <c r="W728" t="s">
        <v>1540</v>
      </c>
      <c r="X728">
        <v>1</v>
      </c>
      <c r="Y728" t="s">
        <v>34</v>
      </c>
    </row>
    <row r="729" spans="1:25" x14ac:dyDescent="0.3">
      <c r="A729">
        <v>728</v>
      </c>
      <c r="B729">
        <v>729</v>
      </c>
      <c r="C729">
        <v>47363126000194</v>
      </c>
      <c r="D729">
        <v>19</v>
      </c>
      <c r="E729" t="s">
        <v>1590</v>
      </c>
      <c r="F729">
        <v>19</v>
      </c>
      <c r="G729" t="s">
        <v>1627</v>
      </c>
      <c r="H729" t="str">
        <f t="shared" si="11"/>
        <v>REDE 19 - BANDEIRA 19 - LOJA 729</v>
      </c>
      <c r="I729">
        <v>1</v>
      </c>
      <c r="J729" t="s">
        <v>26</v>
      </c>
      <c r="K729">
        <v>2</v>
      </c>
      <c r="L729" t="s">
        <v>1443</v>
      </c>
      <c r="M729">
        <v>25</v>
      </c>
      <c r="N729" t="s">
        <v>1406</v>
      </c>
      <c r="O729">
        <v>2</v>
      </c>
      <c r="P729" t="s">
        <v>37</v>
      </c>
      <c r="Q729" t="s">
        <v>38</v>
      </c>
      <c r="R729">
        <v>2</v>
      </c>
      <c r="S729" t="s">
        <v>39</v>
      </c>
      <c r="T729">
        <v>13070710</v>
      </c>
      <c r="U729" s="1">
        <v>-228960063</v>
      </c>
      <c r="V729" s="1">
        <v>-470800312</v>
      </c>
      <c r="W729" t="s">
        <v>1444</v>
      </c>
      <c r="X729">
        <v>1</v>
      </c>
      <c r="Y729" t="s">
        <v>34</v>
      </c>
    </row>
    <row r="730" spans="1:25" x14ac:dyDescent="0.3">
      <c r="A730">
        <v>729</v>
      </c>
      <c r="B730">
        <v>730</v>
      </c>
      <c r="C730">
        <v>48962964000147</v>
      </c>
      <c r="D730">
        <v>19</v>
      </c>
      <c r="E730" t="s">
        <v>1590</v>
      </c>
      <c r="F730">
        <v>19</v>
      </c>
      <c r="G730" t="s">
        <v>1627</v>
      </c>
      <c r="H730" t="str">
        <f t="shared" si="11"/>
        <v>REDE 19 - BANDEIRA 19 - LOJA 730</v>
      </c>
      <c r="I730">
        <v>1</v>
      </c>
      <c r="J730" t="s">
        <v>26</v>
      </c>
      <c r="K730">
        <v>2</v>
      </c>
      <c r="L730" t="s">
        <v>1541</v>
      </c>
      <c r="M730">
        <v>42</v>
      </c>
      <c r="N730" t="s">
        <v>1542</v>
      </c>
      <c r="O730">
        <v>2</v>
      </c>
      <c r="P730" t="s">
        <v>37</v>
      </c>
      <c r="Q730" t="s">
        <v>38</v>
      </c>
      <c r="R730">
        <v>2</v>
      </c>
      <c r="S730" t="s">
        <v>39</v>
      </c>
      <c r="T730">
        <v>13230060</v>
      </c>
      <c r="U730" s="1">
        <v>-232017426</v>
      </c>
      <c r="V730" s="1">
        <v>-467883858</v>
      </c>
      <c r="W730" t="s">
        <v>221</v>
      </c>
      <c r="X730">
        <v>1</v>
      </c>
      <c r="Y730" t="s">
        <v>34</v>
      </c>
    </row>
    <row r="731" spans="1:25" x14ac:dyDescent="0.3">
      <c r="A731">
        <v>730</v>
      </c>
      <c r="B731">
        <v>731</v>
      </c>
      <c r="C731">
        <v>49050659000141</v>
      </c>
      <c r="D731">
        <v>19</v>
      </c>
      <c r="E731" t="s">
        <v>1590</v>
      </c>
      <c r="F731">
        <v>19</v>
      </c>
      <c r="G731" t="s">
        <v>1627</v>
      </c>
      <c r="H731" t="str">
        <f t="shared" si="11"/>
        <v>REDE 19 - BANDEIRA 19 - LOJA 731</v>
      </c>
      <c r="I731">
        <v>1</v>
      </c>
      <c r="J731" t="s">
        <v>26</v>
      </c>
      <c r="K731">
        <v>2</v>
      </c>
      <c r="L731" t="s">
        <v>1543</v>
      </c>
      <c r="M731">
        <v>26</v>
      </c>
      <c r="N731" t="s">
        <v>1409</v>
      </c>
      <c r="O731">
        <v>2</v>
      </c>
      <c r="P731" t="s">
        <v>37</v>
      </c>
      <c r="Q731" t="s">
        <v>38</v>
      </c>
      <c r="R731">
        <v>2</v>
      </c>
      <c r="S731" t="s">
        <v>39</v>
      </c>
      <c r="T731">
        <v>13216181</v>
      </c>
      <c r="U731" s="1">
        <v>-231783741</v>
      </c>
      <c r="V731" s="1">
        <v>-4687542639999990</v>
      </c>
      <c r="W731" t="s">
        <v>496</v>
      </c>
      <c r="X731">
        <v>1</v>
      </c>
      <c r="Y731" t="s">
        <v>34</v>
      </c>
    </row>
    <row r="732" spans="1:25" x14ac:dyDescent="0.3">
      <c r="A732">
        <v>731</v>
      </c>
      <c r="B732">
        <v>732</v>
      </c>
      <c r="C732">
        <v>50066988000160</v>
      </c>
      <c r="D732">
        <v>19</v>
      </c>
      <c r="E732" t="s">
        <v>1590</v>
      </c>
      <c r="F732">
        <v>19</v>
      </c>
      <c r="G732" t="s">
        <v>1627</v>
      </c>
      <c r="H732" t="str">
        <f t="shared" si="11"/>
        <v>REDE 19 - BANDEIRA 19 - LOJA 732</v>
      </c>
      <c r="I732">
        <v>1</v>
      </c>
      <c r="J732" t="s">
        <v>26</v>
      </c>
      <c r="K732">
        <v>2</v>
      </c>
      <c r="L732" t="s">
        <v>1544</v>
      </c>
      <c r="M732">
        <v>43</v>
      </c>
      <c r="N732" t="s">
        <v>1545</v>
      </c>
      <c r="O732">
        <v>2</v>
      </c>
      <c r="P732" t="s">
        <v>37</v>
      </c>
      <c r="Q732" t="s">
        <v>38</v>
      </c>
      <c r="R732">
        <v>2</v>
      </c>
      <c r="S732" t="s">
        <v>39</v>
      </c>
      <c r="T732">
        <v>13380025</v>
      </c>
      <c r="U732" s="1">
        <v>-227813925</v>
      </c>
      <c r="V732" s="1">
        <v>-472931032</v>
      </c>
      <c r="W732" t="s">
        <v>221</v>
      </c>
      <c r="X732">
        <v>1</v>
      </c>
      <c r="Y732" t="s">
        <v>34</v>
      </c>
    </row>
    <row r="733" spans="1:25" x14ac:dyDescent="0.3">
      <c r="A733">
        <v>732</v>
      </c>
      <c r="B733">
        <v>733</v>
      </c>
      <c r="C733">
        <v>50428921000128</v>
      </c>
      <c r="D733">
        <v>19</v>
      </c>
      <c r="E733" t="s">
        <v>1590</v>
      </c>
      <c r="F733">
        <v>19</v>
      </c>
      <c r="G733" t="s">
        <v>1627</v>
      </c>
      <c r="H733" t="str">
        <f t="shared" si="11"/>
        <v>REDE 19 - BANDEIRA 19 - LOJA 733</v>
      </c>
      <c r="I733">
        <v>1</v>
      </c>
      <c r="J733" t="s">
        <v>26</v>
      </c>
      <c r="K733">
        <v>2</v>
      </c>
      <c r="L733" t="s">
        <v>1546</v>
      </c>
      <c r="M733">
        <v>32</v>
      </c>
      <c r="N733" t="s">
        <v>1436</v>
      </c>
      <c r="O733">
        <v>2</v>
      </c>
      <c r="P733" t="s">
        <v>37</v>
      </c>
      <c r="Q733" t="s">
        <v>38</v>
      </c>
      <c r="R733">
        <v>2</v>
      </c>
      <c r="S733" t="s">
        <v>39</v>
      </c>
      <c r="T733">
        <v>13140330</v>
      </c>
      <c r="U733" s="1">
        <v>-227682326</v>
      </c>
      <c r="V733" s="1">
        <v>-471542043</v>
      </c>
      <c r="W733" t="s">
        <v>875</v>
      </c>
      <c r="X733">
        <v>1</v>
      </c>
      <c r="Y733" t="s">
        <v>34</v>
      </c>
    </row>
    <row r="734" spans="1:25" x14ac:dyDescent="0.3">
      <c r="A734">
        <v>733</v>
      </c>
      <c r="B734">
        <v>734</v>
      </c>
      <c r="C734">
        <v>50538399000137</v>
      </c>
      <c r="D734">
        <v>19</v>
      </c>
      <c r="E734" t="s">
        <v>1590</v>
      </c>
      <c r="F734">
        <v>19</v>
      </c>
      <c r="G734" t="s">
        <v>1627</v>
      </c>
      <c r="H734" t="str">
        <f t="shared" si="11"/>
        <v>REDE 19 - BANDEIRA 19 - LOJA 734</v>
      </c>
      <c r="I734">
        <v>1</v>
      </c>
      <c r="J734" t="s">
        <v>26</v>
      </c>
      <c r="K734">
        <v>2</v>
      </c>
      <c r="L734" t="s">
        <v>1547</v>
      </c>
      <c r="M734">
        <v>44</v>
      </c>
      <c r="N734" t="s">
        <v>1548</v>
      </c>
      <c r="O734">
        <v>2</v>
      </c>
      <c r="P734" t="s">
        <v>37</v>
      </c>
      <c r="Q734" t="s">
        <v>38</v>
      </c>
      <c r="R734">
        <v>2</v>
      </c>
      <c r="S734" t="s">
        <v>39</v>
      </c>
      <c r="T734">
        <v>18120000</v>
      </c>
      <c r="U734" s="1">
        <v>-235451019</v>
      </c>
      <c r="V734" s="1">
        <v>-471902389</v>
      </c>
      <c r="W734" t="s">
        <v>1549</v>
      </c>
      <c r="X734">
        <v>1</v>
      </c>
      <c r="Y734" t="s">
        <v>34</v>
      </c>
    </row>
    <row r="735" spans="1:25" x14ac:dyDescent="0.3">
      <c r="A735">
        <v>734</v>
      </c>
      <c r="B735">
        <v>735</v>
      </c>
      <c r="C735">
        <v>50684776000146</v>
      </c>
      <c r="D735">
        <v>19</v>
      </c>
      <c r="E735" t="s">
        <v>1590</v>
      </c>
      <c r="F735">
        <v>19</v>
      </c>
      <c r="G735" t="s">
        <v>1627</v>
      </c>
      <c r="H735" t="str">
        <f t="shared" si="11"/>
        <v>REDE 19 - BANDEIRA 19 - LOJA 735</v>
      </c>
      <c r="I735">
        <v>1</v>
      </c>
      <c r="J735" t="s">
        <v>26</v>
      </c>
      <c r="K735">
        <v>2</v>
      </c>
      <c r="L735" t="s">
        <v>1550</v>
      </c>
      <c r="M735">
        <v>25</v>
      </c>
      <c r="N735" t="s">
        <v>1406</v>
      </c>
      <c r="O735">
        <v>2</v>
      </c>
      <c r="P735" t="s">
        <v>37</v>
      </c>
      <c r="Q735" t="s">
        <v>38</v>
      </c>
      <c r="R735">
        <v>2</v>
      </c>
      <c r="S735" t="s">
        <v>39</v>
      </c>
      <c r="T735">
        <v>13060866</v>
      </c>
      <c r="U735" s="1">
        <v>-229290374</v>
      </c>
      <c r="V735" s="1">
        <v>-471000005</v>
      </c>
      <c r="W735" t="s">
        <v>1551</v>
      </c>
      <c r="X735">
        <v>1</v>
      </c>
      <c r="Y735" t="s">
        <v>34</v>
      </c>
    </row>
    <row r="736" spans="1:25" x14ac:dyDescent="0.3">
      <c r="A736">
        <v>735</v>
      </c>
      <c r="B736">
        <v>736</v>
      </c>
      <c r="C736">
        <v>50730471000123</v>
      </c>
      <c r="D736">
        <v>19</v>
      </c>
      <c r="E736" t="s">
        <v>1590</v>
      </c>
      <c r="F736">
        <v>19</v>
      </c>
      <c r="G736" t="s">
        <v>1627</v>
      </c>
      <c r="H736" t="str">
        <f t="shared" si="11"/>
        <v>REDE 19 - BANDEIRA 19 - LOJA 736</v>
      </c>
      <c r="I736">
        <v>1</v>
      </c>
      <c r="J736" t="s">
        <v>26</v>
      </c>
      <c r="K736">
        <v>2</v>
      </c>
      <c r="L736" t="s">
        <v>1552</v>
      </c>
      <c r="M736">
        <v>26</v>
      </c>
      <c r="N736" t="s">
        <v>1409</v>
      </c>
      <c r="O736">
        <v>2</v>
      </c>
      <c r="P736" t="s">
        <v>37</v>
      </c>
      <c r="Q736" t="s">
        <v>38</v>
      </c>
      <c r="R736">
        <v>2</v>
      </c>
      <c r="S736" t="s">
        <v>39</v>
      </c>
      <c r="T736">
        <v>13209090</v>
      </c>
      <c r="U736" s="1">
        <v>-231846056</v>
      </c>
      <c r="V736" s="1">
        <v>-468956376</v>
      </c>
      <c r="W736" t="s">
        <v>1553</v>
      </c>
      <c r="X736">
        <v>1</v>
      </c>
      <c r="Y736" t="s">
        <v>34</v>
      </c>
    </row>
    <row r="737" spans="1:25" x14ac:dyDescent="0.3">
      <c r="A737">
        <v>736</v>
      </c>
      <c r="B737">
        <v>737</v>
      </c>
      <c r="C737">
        <v>50738931000160</v>
      </c>
      <c r="D737">
        <v>19</v>
      </c>
      <c r="E737" t="s">
        <v>1590</v>
      </c>
      <c r="F737">
        <v>19</v>
      </c>
      <c r="G737" t="s">
        <v>1627</v>
      </c>
      <c r="H737" t="str">
        <f t="shared" si="11"/>
        <v>REDE 19 - BANDEIRA 19 - LOJA 737</v>
      </c>
      <c r="I737">
        <v>1</v>
      </c>
      <c r="J737" t="s">
        <v>26</v>
      </c>
      <c r="K737">
        <v>2</v>
      </c>
      <c r="L737" t="s">
        <v>1554</v>
      </c>
      <c r="M737">
        <v>26</v>
      </c>
      <c r="N737" t="s">
        <v>1409</v>
      </c>
      <c r="O737">
        <v>2</v>
      </c>
      <c r="P737" t="s">
        <v>37</v>
      </c>
      <c r="Q737" t="s">
        <v>38</v>
      </c>
      <c r="R737">
        <v>2</v>
      </c>
      <c r="S737" t="s">
        <v>39</v>
      </c>
      <c r="T737">
        <v>13208140</v>
      </c>
      <c r="U737" s="1">
        <v>-231910488</v>
      </c>
      <c r="V737" s="1">
        <v>-468901524</v>
      </c>
      <c r="W737" t="s">
        <v>1515</v>
      </c>
      <c r="X737">
        <v>1</v>
      </c>
      <c r="Y737" t="s">
        <v>34</v>
      </c>
    </row>
    <row r="738" spans="1:25" x14ac:dyDescent="0.3">
      <c r="A738">
        <v>737</v>
      </c>
      <c r="B738">
        <v>738</v>
      </c>
      <c r="C738">
        <v>51038693000223</v>
      </c>
      <c r="D738">
        <v>19</v>
      </c>
      <c r="E738" t="s">
        <v>1590</v>
      </c>
      <c r="F738">
        <v>19</v>
      </c>
      <c r="G738" t="s">
        <v>1627</v>
      </c>
      <c r="H738" t="str">
        <f t="shared" si="11"/>
        <v>REDE 19 - BANDEIRA 19 - LOJA 738</v>
      </c>
      <c r="I738">
        <v>1</v>
      </c>
      <c r="J738" t="s">
        <v>26</v>
      </c>
      <c r="K738">
        <v>2</v>
      </c>
      <c r="L738" t="s">
        <v>1555</v>
      </c>
      <c r="M738">
        <v>25</v>
      </c>
      <c r="N738" t="s">
        <v>1406</v>
      </c>
      <c r="O738">
        <v>2</v>
      </c>
      <c r="P738" t="s">
        <v>37</v>
      </c>
      <c r="Q738" t="s">
        <v>38</v>
      </c>
      <c r="R738">
        <v>2</v>
      </c>
      <c r="S738" t="s">
        <v>39</v>
      </c>
      <c r="T738">
        <v>13031550</v>
      </c>
      <c r="U738" s="1">
        <v>-229188818</v>
      </c>
      <c r="V738" s="1">
        <v>-47085869</v>
      </c>
      <c r="W738" t="s">
        <v>1556</v>
      </c>
      <c r="X738">
        <v>1</v>
      </c>
      <c r="Y738" t="s">
        <v>34</v>
      </c>
    </row>
    <row r="739" spans="1:25" x14ac:dyDescent="0.3">
      <c r="A739">
        <v>738</v>
      </c>
      <c r="B739">
        <v>739</v>
      </c>
      <c r="C739">
        <v>51042903000176</v>
      </c>
      <c r="D739">
        <v>19</v>
      </c>
      <c r="E739" t="s">
        <v>1590</v>
      </c>
      <c r="F739">
        <v>19</v>
      </c>
      <c r="G739" t="s">
        <v>1627</v>
      </c>
      <c r="H739" t="str">
        <f t="shared" si="11"/>
        <v>REDE 19 - BANDEIRA 19 - LOJA 739</v>
      </c>
      <c r="I739">
        <v>1</v>
      </c>
      <c r="J739" t="s">
        <v>26</v>
      </c>
      <c r="K739">
        <v>2</v>
      </c>
      <c r="L739" t="s">
        <v>1557</v>
      </c>
      <c r="M739">
        <v>25</v>
      </c>
      <c r="N739" t="s">
        <v>1406</v>
      </c>
      <c r="O739">
        <v>2</v>
      </c>
      <c r="P739" t="s">
        <v>37</v>
      </c>
      <c r="Q739" t="s">
        <v>38</v>
      </c>
      <c r="R739">
        <v>2</v>
      </c>
      <c r="S739" t="s">
        <v>39</v>
      </c>
      <c r="T739">
        <v>13034685</v>
      </c>
      <c r="U739" s="1">
        <v>-229124874</v>
      </c>
      <c r="V739" s="1">
        <v>-470976609</v>
      </c>
      <c r="W739" t="s">
        <v>1558</v>
      </c>
      <c r="X739">
        <v>1</v>
      </c>
      <c r="Y739" t="s">
        <v>34</v>
      </c>
    </row>
    <row r="740" spans="1:25" x14ac:dyDescent="0.3">
      <c r="A740">
        <v>739</v>
      </c>
      <c r="B740">
        <v>740</v>
      </c>
      <c r="C740">
        <v>51180319000187</v>
      </c>
      <c r="D740">
        <v>19</v>
      </c>
      <c r="E740" t="s">
        <v>1590</v>
      </c>
      <c r="F740">
        <v>19</v>
      </c>
      <c r="G740" t="s">
        <v>1627</v>
      </c>
      <c r="H740" t="str">
        <f t="shared" si="11"/>
        <v>REDE 19 - BANDEIRA 19 - LOJA 740</v>
      </c>
      <c r="I740">
        <v>1</v>
      </c>
      <c r="J740" t="s">
        <v>26</v>
      </c>
      <c r="K740">
        <v>2</v>
      </c>
      <c r="L740" t="s">
        <v>1559</v>
      </c>
      <c r="M740">
        <v>38</v>
      </c>
      <c r="N740" t="s">
        <v>1484</v>
      </c>
      <c r="O740">
        <v>2</v>
      </c>
      <c r="P740" t="s">
        <v>37</v>
      </c>
      <c r="Q740" t="s">
        <v>38</v>
      </c>
      <c r="R740">
        <v>2</v>
      </c>
      <c r="S740" t="s">
        <v>39</v>
      </c>
      <c r="T740">
        <v>13296511</v>
      </c>
      <c r="U740" s="1">
        <v>-231558391</v>
      </c>
      <c r="V740" s="1">
        <v>-4705653969999990</v>
      </c>
      <c r="W740" t="s">
        <v>1560</v>
      </c>
      <c r="X740">
        <v>1</v>
      </c>
      <c r="Y740" t="s">
        <v>34</v>
      </c>
    </row>
    <row r="741" spans="1:25" x14ac:dyDescent="0.3">
      <c r="A741">
        <v>740</v>
      </c>
      <c r="B741">
        <v>741</v>
      </c>
      <c r="C741">
        <v>51418450000130</v>
      </c>
      <c r="D741">
        <v>19</v>
      </c>
      <c r="E741" t="s">
        <v>1590</v>
      </c>
      <c r="F741">
        <v>19</v>
      </c>
      <c r="G741" t="s">
        <v>1627</v>
      </c>
      <c r="H741" t="str">
        <f t="shared" si="11"/>
        <v>REDE 19 - BANDEIRA 19 - LOJA 741</v>
      </c>
      <c r="I741">
        <v>1</v>
      </c>
      <c r="J741" t="s">
        <v>26</v>
      </c>
      <c r="K741">
        <v>2</v>
      </c>
      <c r="L741" t="s">
        <v>1561</v>
      </c>
      <c r="M741">
        <v>25</v>
      </c>
      <c r="N741" t="s">
        <v>1406</v>
      </c>
      <c r="O741">
        <v>2</v>
      </c>
      <c r="P741" t="s">
        <v>37</v>
      </c>
      <c r="Q741" t="s">
        <v>38</v>
      </c>
      <c r="R741">
        <v>2</v>
      </c>
      <c r="S741" t="s">
        <v>39</v>
      </c>
      <c r="T741">
        <v>13064400</v>
      </c>
      <c r="U741" s="1">
        <v>-228968164</v>
      </c>
      <c r="V741" s="1">
        <v>-471489585</v>
      </c>
      <c r="W741" t="s">
        <v>1562</v>
      </c>
      <c r="X741">
        <v>1</v>
      </c>
      <c r="Y741" t="s">
        <v>34</v>
      </c>
    </row>
    <row r="742" spans="1:25" x14ac:dyDescent="0.3">
      <c r="A742">
        <v>741</v>
      </c>
      <c r="B742">
        <v>742</v>
      </c>
      <c r="C742">
        <v>51577895000162</v>
      </c>
      <c r="D742">
        <v>19</v>
      </c>
      <c r="E742" t="s">
        <v>1590</v>
      </c>
      <c r="F742">
        <v>19</v>
      </c>
      <c r="G742" t="s">
        <v>1627</v>
      </c>
      <c r="H742" t="str">
        <f t="shared" si="11"/>
        <v>REDE 19 - BANDEIRA 19 - LOJA 742</v>
      </c>
      <c r="I742">
        <v>1</v>
      </c>
      <c r="J742" t="s">
        <v>26</v>
      </c>
      <c r="K742">
        <v>2</v>
      </c>
      <c r="L742" t="s">
        <v>1563</v>
      </c>
      <c r="M742">
        <v>25</v>
      </c>
      <c r="N742" t="s">
        <v>1406</v>
      </c>
      <c r="O742">
        <v>2</v>
      </c>
      <c r="P742" t="s">
        <v>37</v>
      </c>
      <c r="Q742" t="s">
        <v>38</v>
      </c>
      <c r="R742">
        <v>2</v>
      </c>
      <c r="S742" t="s">
        <v>39</v>
      </c>
      <c r="T742">
        <v>13025320</v>
      </c>
      <c r="U742" s="1">
        <v>-228883336</v>
      </c>
      <c r="V742" s="1">
        <v>-470451321</v>
      </c>
      <c r="W742" t="s">
        <v>1416</v>
      </c>
      <c r="X742">
        <v>1</v>
      </c>
      <c r="Y742" t="s">
        <v>34</v>
      </c>
    </row>
    <row r="743" spans="1:25" x14ac:dyDescent="0.3">
      <c r="A743">
        <v>742</v>
      </c>
      <c r="B743">
        <v>743</v>
      </c>
      <c r="C743">
        <v>51781884000108</v>
      </c>
      <c r="D743">
        <v>19</v>
      </c>
      <c r="E743" t="s">
        <v>1590</v>
      </c>
      <c r="F743">
        <v>19</v>
      </c>
      <c r="G743" t="s">
        <v>1627</v>
      </c>
      <c r="H743" t="str">
        <f t="shared" si="11"/>
        <v>REDE 19 - BANDEIRA 19 - LOJA 743</v>
      </c>
      <c r="I743">
        <v>1</v>
      </c>
      <c r="J743" t="s">
        <v>26</v>
      </c>
      <c r="K743">
        <v>2</v>
      </c>
      <c r="L743" t="s">
        <v>1520</v>
      </c>
      <c r="M743">
        <v>25</v>
      </c>
      <c r="N743" t="s">
        <v>1406</v>
      </c>
      <c r="O743">
        <v>2</v>
      </c>
      <c r="P743" t="s">
        <v>37</v>
      </c>
      <c r="Q743" t="s">
        <v>38</v>
      </c>
      <c r="R743">
        <v>2</v>
      </c>
      <c r="S743" t="s">
        <v>39</v>
      </c>
      <c r="T743">
        <v>13010041</v>
      </c>
      <c r="U743" s="1">
        <v>-229067778</v>
      </c>
      <c r="V743" s="1">
        <v>-4706000539999990</v>
      </c>
      <c r="W743" t="s">
        <v>221</v>
      </c>
      <c r="X743">
        <v>1</v>
      </c>
      <c r="Y743" t="s">
        <v>34</v>
      </c>
    </row>
    <row r="744" spans="1:25" x14ac:dyDescent="0.3">
      <c r="A744">
        <v>743</v>
      </c>
      <c r="B744">
        <v>744</v>
      </c>
      <c r="C744">
        <v>53128033000188</v>
      </c>
      <c r="D744">
        <v>19</v>
      </c>
      <c r="E744" t="s">
        <v>1590</v>
      </c>
      <c r="F744">
        <v>19</v>
      </c>
      <c r="G744" t="s">
        <v>1627</v>
      </c>
      <c r="H744" t="str">
        <f t="shared" si="11"/>
        <v>REDE 19 - BANDEIRA 19 - LOJA 744</v>
      </c>
      <c r="I744">
        <v>1</v>
      </c>
      <c r="J744" t="s">
        <v>26</v>
      </c>
      <c r="K744">
        <v>2</v>
      </c>
      <c r="L744" t="s">
        <v>1564</v>
      </c>
      <c r="M744">
        <v>32</v>
      </c>
      <c r="N744" t="s">
        <v>1436</v>
      </c>
      <c r="O744">
        <v>2</v>
      </c>
      <c r="P744" t="s">
        <v>37</v>
      </c>
      <c r="Q744" t="s">
        <v>38</v>
      </c>
      <c r="R744">
        <v>2</v>
      </c>
      <c r="S744" t="s">
        <v>39</v>
      </c>
      <c r="T744">
        <v>13140818</v>
      </c>
      <c r="U744" s="1">
        <v>-227711245</v>
      </c>
      <c r="V744" s="1">
        <v>-471460358</v>
      </c>
      <c r="W744" t="s">
        <v>441</v>
      </c>
      <c r="X744">
        <v>1</v>
      </c>
      <c r="Y744" t="s">
        <v>34</v>
      </c>
    </row>
    <row r="745" spans="1:25" x14ac:dyDescent="0.3">
      <c r="A745">
        <v>744</v>
      </c>
      <c r="B745">
        <v>745</v>
      </c>
      <c r="C745">
        <v>53642250000191</v>
      </c>
      <c r="D745">
        <v>19</v>
      </c>
      <c r="E745" t="s">
        <v>1590</v>
      </c>
      <c r="F745">
        <v>19</v>
      </c>
      <c r="G745" t="s">
        <v>1627</v>
      </c>
      <c r="H745" t="str">
        <f t="shared" si="11"/>
        <v>REDE 19 - BANDEIRA 19 - LOJA 745</v>
      </c>
      <c r="I745">
        <v>1</v>
      </c>
      <c r="J745" t="s">
        <v>26</v>
      </c>
      <c r="K745">
        <v>2</v>
      </c>
      <c r="L745" t="s">
        <v>1496</v>
      </c>
      <c r="M745">
        <v>23</v>
      </c>
      <c r="N745" t="s">
        <v>1401</v>
      </c>
      <c r="O745">
        <v>2</v>
      </c>
      <c r="P745" t="s">
        <v>37</v>
      </c>
      <c r="Q745" t="s">
        <v>38</v>
      </c>
      <c r="R745">
        <v>2</v>
      </c>
      <c r="S745" t="s">
        <v>39</v>
      </c>
      <c r="T745">
        <v>12941650</v>
      </c>
      <c r="U745" s="1">
        <v>-231620607</v>
      </c>
      <c r="V745" s="1">
        <v>-465723833</v>
      </c>
      <c r="W745" t="s">
        <v>1565</v>
      </c>
      <c r="X745">
        <v>1</v>
      </c>
      <c r="Y745" t="s">
        <v>34</v>
      </c>
    </row>
    <row r="746" spans="1:25" x14ac:dyDescent="0.3">
      <c r="A746">
        <v>745</v>
      </c>
      <c r="B746">
        <v>746</v>
      </c>
      <c r="C746">
        <v>24619431000107</v>
      </c>
      <c r="D746">
        <v>19</v>
      </c>
      <c r="E746" t="s">
        <v>1590</v>
      </c>
      <c r="F746">
        <v>19</v>
      </c>
      <c r="G746" t="s">
        <v>1627</v>
      </c>
      <c r="H746" t="str">
        <f t="shared" si="11"/>
        <v>REDE 19 - BANDEIRA 19 - LOJA 746</v>
      </c>
      <c r="I746">
        <v>1</v>
      </c>
      <c r="J746" t="s">
        <v>26</v>
      </c>
      <c r="K746">
        <v>2</v>
      </c>
      <c r="L746" t="s">
        <v>1566</v>
      </c>
      <c r="M746">
        <v>13</v>
      </c>
      <c r="N746" t="s">
        <v>1221</v>
      </c>
      <c r="O746">
        <v>6</v>
      </c>
      <c r="P746" t="s">
        <v>1222</v>
      </c>
      <c r="Q746" t="s">
        <v>25</v>
      </c>
      <c r="R746">
        <v>3</v>
      </c>
      <c r="S746" t="s">
        <v>63</v>
      </c>
      <c r="T746">
        <v>74340570</v>
      </c>
      <c r="U746" s="1">
        <v>-167243295</v>
      </c>
      <c r="V746" s="1">
        <v>-493046065</v>
      </c>
      <c r="W746" t="s">
        <v>1567</v>
      </c>
      <c r="X746">
        <v>1</v>
      </c>
      <c r="Y746" t="s">
        <v>34</v>
      </c>
    </row>
    <row r="747" spans="1:25" x14ac:dyDescent="0.3">
      <c r="A747">
        <v>746</v>
      </c>
      <c r="B747">
        <v>747</v>
      </c>
      <c r="C747">
        <v>9000493001106</v>
      </c>
      <c r="D747">
        <v>41</v>
      </c>
      <c r="E747" t="s">
        <v>1608</v>
      </c>
      <c r="F747">
        <v>40</v>
      </c>
      <c r="G747" t="s">
        <v>1645</v>
      </c>
      <c r="H747" t="str">
        <f t="shared" si="11"/>
        <v>REDE 41 - BANDEIRA 41 - LOJA 747</v>
      </c>
      <c r="I747">
        <v>3</v>
      </c>
      <c r="J747" t="s">
        <v>1073</v>
      </c>
      <c r="K747">
        <v>4</v>
      </c>
      <c r="L747" t="s">
        <v>1568</v>
      </c>
      <c r="M747">
        <v>45</v>
      </c>
      <c r="N747" t="s">
        <v>1569</v>
      </c>
      <c r="O747">
        <v>2</v>
      </c>
      <c r="P747" t="s">
        <v>37</v>
      </c>
      <c r="Q747" t="s">
        <v>38</v>
      </c>
      <c r="R747">
        <v>2</v>
      </c>
      <c r="S747" t="s">
        <v>39</v>
      </c>
      <c r="T747">
        <v>6454000</v>
      </c>
      <c r="U747" s="1">
        <v>-2.34933240919439E+16</v>
      </c>
      <c r="V747" s="1">
        <v>-4684865637561400</v>
      </c>
      <c r="W747" t="s">
        <v>1570</v>
      </c>
      <c r="X747">
        <v>1</v>
      </c>
      <c r="Y747" t="s">
        <v>34</v>
      </c>
    </row>
    <row r="748" spans="1:25" x14ac:dyDescent="0.3">
      <c r="A748">
        <v>747</v>
      </c>
      <c r="B748">
        <v>748</v>
      </c>
      <c r="C748">
        <v>6933676000114</v>
      </c>
      <c r="D748">
        <v>19</v>
      </c>
      <c r="E748" t="s">
        <v>1590</v>
      </c>
      <c r="F748">
        <v>19</v>
      </c>
      <c r="G748" t="s">
        <v>1627</v>
      </c>
      <c r="H748" t="str">
        <f t="shared" si="11"/>
        <v>REDE 19 - BANDEIRA 19 - LOJA 748</v>
      </c>
      <c r="I748">
        <v>1</v>
      </c>
      <c r="J748" t="s">
        <v>26</v>
      </c>
      <c r="K748">
        <v>1</v>
      </c>
      <c r="L748" t="s">
        <v>1571</v>
      </c>
      <c r="M748">
        <v>1</v>
      </c>
      <c r="N748" t="s">
        <v>28</v>
      </c>
      <c r="O748">
        <v>1</v>
      </c>
      <c r="P748" t="s">
        <v>29</v>
      </c>
      <c r="Q748" t="s">
        <v>30</v>
      </c>
      <c r="R748">
        <v>1</v>
      </c>
      <c r="S748" t="s">
        <v>31</v>
      </c>
      <c r="T748">
        <v>80040345</v>
      </c>
      <c r="U748" s="1">
        <v>-254175086</v>
      </c>
      <c r="V748" s="1">
        <v>-4924943409999990</v>
      </c>
      <c r="W748" t="s">
        <v>704</v>
      </c>
      <c r="X748">
        <v>1</v>
      </c>
      <c r="Y748" t="s">
        <v>34</v>
      </c>
    </row>
  </sheetData>
  <autoFilter ref="A1:Y748" xr:uid="{E2AD43E3-CC69-41D0-B106-DFC5805F845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Diego da Silva</dc:creator>
  <cp:lastModifiedBy>Jefferson Diego da Silva</cp:lastModifiedBy>
  <dcterms:created xsi:type="dcterms:W3CDTF">2024-06-11T18:19:39Z</dcterms:created>
  <dcterms:modified xsi:type="dcterms:W3CDTF">2024-06-11T18:42:07Z</dcterms:modified>
</cp:coreProperties>
</file>